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 ERPNext" sheetId="1" state="visible" r:id="rId1"/>
    <sheet xmlns:r="http://schemas.openxmlformats.org/officeDocument/2006/relationships" name="Petunjuk Import ERPNext" sheetId="2" state="visible" r:id="rId2"/>
    <sheet xmlns:r="http://schemas.openxmlformats.org/officeDocument/2006/relationships" name="Ringkasan Struktur Ak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1F497D"/>
      <sz val="12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7" fillId="4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38" customWidth="1" min="4" max="4"/>
    <col width="16" customWidth="1" min="5" max="5"/>
    <col width="14" customWidth="1" min="6" max="6"/>
    <col width="24" customWidth="1" min="7" max="7"/>
    <col width="28" customWidth="1" min="8" max="8"/>
    <col width="55" customWidth="1" min="9" max="9"/>
  </cols>
  <sheetData>
    <row r="1">
      <c r="A1" s="1" t="inlineStr">
        <is>
          <t>BAGAN AKUN (CHART OF ACCOUNTS) INDUSTRI MANUFAKTUR - ERPNEXT</t>
        </is>
      </c>
    </row>
    <row r="2">
      <c r="A2" s="2" t="inlineStr">
        <is>
          <t>Format Standar Siap Import ke ERPNext (Accounting &gt; Chart of Accounts Importer / Data Import)</t>
        </is>
      </c>
    </row>
    <row r="3"/>
    <row r="4" ht="28" customHeight="1">
      <c r="A4" s="3" t="inlineStr">
        <is>
          <t>Account Code
(Kode Akun)</t>
        </is>
      </c>
      <c r="B4" s="3" t="inlineStr">
        <is>
          <t>Account Name
(Nama Akun)</t>
        </is>
      </c>
      <c r="C4" s="3" t="inlineStr">
        <is>
          <t>Parent Account Code
(Kode Induk)</t>
        </is>
      </c>
      <c r="D4" s="3" t="inlineStr">
        <is>
          <t>Parent Account Name
(Nama Akun Induk)</t>
        </is>
      </c>
      <c r="E4" s="3" t="inlineStr">
        <is>
          <t>Root Type
(Kategori Utama)</t>
        </is>
      </c>
      <c r="F4" s="3" t="inlineStr">
        <is>
          <t>Is Group
(1=Induk, 0=Transaksi)</t>
        </is>
      </c>
      <c r="G4" s="3" t="inlineStr">
        <is>
          <t>Account Type
(Tipe Akun ERPNext)</t>
        </is>
      </c>
      <c r="H4" s="3" t="inlineStr">
        <is>
          <t>Kategori Manufaktur
(Fungsi Operasional)</t>
        </is>
      </c>
      <c r="I4" s="3" t="inlineStr">
        <is>
          <t>Keterangan / Fungsi Akun</t>
        </is>
      </c>
    </row>
    <row r="5" ht="20" customHeight="1">
      <c r="A5" s="4" t="inlineStr">
        <is>
          <t>1000</t>
        </is>
      </c>
      <c r="B5" s="5" t="inlineStr">
        <is>
          <t>ASET</t>
        </is>
      </c>
      <c r="C5" s="4" t="inlineStr"/>
      <c r="D5" s="5" t="inlineStr"/>
      <c r="E5" s="4" t="inlineStr">
        <is>
          <t>Asset</t>
        </is>
      </c>
      <c r="F5" s="4" t="n">
        <v>1</v>
      </c>
      <c r="G5" s="5" t="inlineStr"/>
      <c r="H5" s="5" t="inlineStr">
        <is>
          <t>Header Utama</t>
        </is>
      </c>
      <c r="I5" s="5" t="inlineStr">
        <is>
          <t>Induk utama seluruh aset perusahaan manufaktur</t>
        </is>
      </c>
    </row>
    <row r="6" ht="20" customHeight="1">
      <c r="A6" s="6" t="inlineStr">
        <is>
          <t>1100</t>
        </is>
      </c>
      <c r="B6" s="7" t="inlineStr">
        <is>
          <t>Aset Lancar</t>
        </is>
      </c>
      <c r="C6" s="6" t="inlineStr">
        <is>
          <t>1000</t>
        </is>
      </c>
      <c r="D6" s="7" t="inlineStr">
        <is>
          <t>ASET</t>
        </is>
      </c>
      <c r="E6" s="6" t="inlineStr">
        <is>
          <t>Asset</t>
        </is>
      </c>
      <c r="F6" s="6" t="n">
        <v>1</v>
      </c>
      <c r="G6" s="7" t="inlineStr"/>
      <c r="H6" s="7" t="inlineStr">
        <is>
          <t>Aset Lancar</t>
        </is>
      </c>
      <c r="I6" s="7" t="inlineStr">
        <is>
          <t>Kelompok aset cair dan operasional jangka pendek (&lt;1 tahun)</t>
        </is>
      </c>
    </row>
    <row r="7" ht="20" customHeight="1">
      <c r="A7" s="6" t="inlineStr">
        <is>
          <t>1110</t>
        </is>
      </c>
      <c r="B7" s="7" t="inlineStr">
        <is>
          <t>Kas &amp; Bank</t>
        </is>
      </c>
      <c r="C7" s="6" t="inlineStr">
        <is>
          <t>1100</t>
        </is>
      </c>
      <c r="D7" s="7" t="inlineStr">
        <is>
          <t>Aset Lancar</t>
        </is>
      </c>
      <c r="E7" s="6" t="inlineStr">
        <is>
          <t>Asset</t>
        </is>
      </c>
      <c r="F7" s="6" t="n">
        <v>1</v>
      </c>
      <c r="G7" s="7" t="inlineStr">
        <is>
          <t>Bank</t>
        </is>
      </c>
      <c r="H7" s="7" t="inlineStr">
        <is>
          <t>Kas &amp; Bank</t>
        </is>
      </c>
      <c r="I7" s="7" t="inlineStr">
        <is>
          <t>Kelompok seluruh rekening kas tunai dan bank</t>
        </is>
      </c>
    </row>
    <row r="8" ht="20" customHeight="1">
      <c r="A8" s="8" t="inlineStr">
        <is>
          <t>1111</t>
        </is>
      </c>
      <c r="B8" s="9" t="inlineStr">
        <is>
          <t>Kas Utama Pabrik</t>
        </is>
      </c>
      <c r="C8" s="8" t="inlineStr">
        <is>
          <t>1110</t>
        </is>
      </c>
      <c r="D8" s="9" t="inlineStr">
        <is>
          <t>Kas &amp; Bank</t>
        </is>
      </c>
      <c r="E8" s="8" t="inlineStr">
        <is>
          <t>Asset</t>
        </is>
      </c>
      <c r="F8" s="8" t="n">
        <v>0</v>
      </c>
      <c r="G8" s="9" t="inlineStr">
        <is>
          <t>Cash</t>
        </is>
      </c>
      <c r="H8" s="9" t="inlineStr">
        <is>
          <t>Kas &amp; Bank</t>
        </is>
      </c>
      <c r="I8" s="9" t="inlineStr">
        <is>
          <t>Kas tunai untuk operasional harian pabrik</t>
        </is>
      </c>
    </row>
    <row r="9" ht="20" customHeight="1">
      <c r="A9" s="10" t="inlineStr">
        <is>
          <t>1112</t>
        </is>
      </c>
      <c r="B9" s="11" t="inlineStr">
        <is>
          <t>Kas Kecil (Petty Cash)</t>
        </is>
      </c>
      <c r="C9" s="10" t="inlineStr">
        <is>
          <t>1110</t>
        </is>
      </c>
      <c r="D9" s="11" t="inlineStr">
        <is>
          <t>Kas &amp; Bank</t>
        </is>
      </c>
      <c r="E9" s="10" t="inlineStr">
        <is>
          <t>Asset</t>
        </is>
      </c>
      <c r="F9" s="10" t="n">
        <v>0</v>
      </c>
      <c r="G9" s="11" t="inlineStr">
        <is>
          <t>Cash</t>
        </is>
      </c>
      <c r="H9" s="11" t="inlineStr">
        <is>
          <t>Kas &amp; Bank</t>
        </is>
      </c>
      <c r="I9" s="11" t="inlineStr">
        <is>
          <t>Kas kecil pengeluaran operasional darurat</t>
        </is>
      </c>
    </row>
    <row r="10" ht="20" customHeight="1">
      <c r="A10" s="8" t="inlineStr">
        <is>
          <t>1113</t>
        </is>
      </c>
      <c r="B10" s="9" t="inlineStr">
        <is>
          <t>Bank Mandiri Operasional</t>
        </is>
      </c>
      <c r="C10" s="8" t="inlineStr">
        <is>
          <t>1110</t>
        </is>
      </c>
      <c r="D10" s="9" t="inlineStr">
        <is>
          <t>Kas &amp; Bank</t>
        </is>
      </c>
      <c r="E10" s="8" t="inlineStr">
        <is>
          <t>Asset</t>
        </is>
      </c>
      <c r="F10" s="8" t="n">
        <v>0</v>
      </c>
      <c r="G10" s="9" t="inlineStr">
        <is>
          <t>Bank</t>
        </is>
      </c>
      <c r="H10" s="9" t="inlineStr">
        <is>
          <t>Kas &amp; Bank</t>
        </is>
      </c>
      <c r="I10" s="9" t="inlineStr">
        <is>
          <t>Rekening penerimaan pelanggan &amp; pembayaran vendor</t>
        </is>
      </c>
    </row>
    <row r="11" ht="20" customHeight="1">
      <c r="A11" s="10" t="inlineStr">
        <is>
          <t>1114</t>
        </is>
      </c>
      <c r="B11" s="11" t="inlineStr">
        <is>
          <t>Bank BCA Operasional</t>
        </is>
      </c>
      <c r="C11" s="10" t="inlineStr">
        <is>
          <t>1110</t>
        </is>
      </c>
      <c r="D11" s="11" t="inlineStr">
        <is>
          <t>Kas &amp; Bank</t>
        </is>
      </c>
      <c r="E11" s="10" t="inlineStr">
        <is>
          <t>Asset</t>
        </is>
      </c>
      <c r="F11" s="10" t="n">
        <v>0</v>
      </c>
      <c r="G11" s="11" t="inlineStr">
        <is>
          <t>Bank</t>
        </is>
      </c>
      <c r="H11" s="11" t="inlineStr">
        <is>
          <t>Kas &amp; Bank</t>
        </is>
      </c>
      <c r="I11" s="11" t="inlineStr">
        <is>
          <t>Rekening penggajian (payroll) &amp; utilitas pabrik</t>
        </is>
      </c>
    </row>
    <row r="12" ht="20" customHeight="1">
      <c r="A12" s="6" t="inlineStr">
        <is>
          <t>1120</t>
        </is>
      </c>
      <c r="B12" s="7" t="inlineStr">
        <is>
          <t>Piutang Usaha &amp; Lainnya</t>
        </is>
      </c>
      <c r="C12" s="6" t="inlineStr">
        <is>
          <t>1100</t>
        </is>
      </c>
      <c r="D12" s="7" t="inlineStr">
        <is>
          <t>Aset Lancar</t>
        </is>
      </c>
      <c r="E12" s="6" t="inlineStr">
        <is>
          <t>Asset</t>
        </is>
      </c>
      <c r="F12" s="6" t="n">
        <v>1</v>
      </c>
      <c r="G12" s="7" t="inlineStr">
        <is>
          <t>Receivable</t>
        </is>
      </c>
      <c r="H12" s="7" t="inlineStr">
        <is>
          <t>Piutang</t>
        </is>
      </c>
      <c r="I12" s="7" t="inlineStr">
        <is>
          <t>Kelompok piutang pelanggan dan karyawan</t>
        </is>
      </c>
    </row>
    <row r="13" ht="20" customHeight="1">
      <c r="A13" s="10" t="inlineStr">
        <is>
          <t>1121</t>
        </is>
      </c>
      <c r="B13" s="11" t="inlineStr">
        <is>
          <t>Piutang Usaha (Dagang)</t>
        </is>
      </c>
      <c r="C13" s="10" t="inlineStr">
        <is>
          <t>1120</t>
        </is>
      </c>
      <c r="D13" s="11" t="inlineStr">
        <is>
          <t>Piutang Usaha &amp; Lainnya</t>
        </is>
      </c>
      <c r="E13" s="10" t="inlineStr">
        <is>
          <t>Asset</t>
        </is>
      </c>
      <c r="F13" s="10" t="n">
        <v>0</v>
      </c>
      <c r="G13" s="11" t="inlineStr">
        <is>
          <t>Receivable</t>
        </is>
      </c>
      <c r="H13" s="11" t="inlineStr">
        <is>
          <t>Piutang</t>
        </is>
      </c>
      <c r="I13" s="11" t="inlineStr">
        <is>
          <t>Terikat otomatis ke Sales Invoice Pelanggan (Customer)</t>
        </is>
      </c>
    </row>
    <row r="14" ht="20" customHeight="1">
      <c r="A14" s="8" t="inlineStr">
        <is>
          <t>1122</t>
        </is>
      </c>
      <c r="B14" s="9" t="inlineStr">
        <is>
          <t>Cadangan Kerugian Piutang</t>
        </is>
      </c>
      <c r="C14" s="8" t="inlineStr">
        <is>
          <t>1120</t>
        </is>
      </c>
      <c r="D14" s="9" t="inlineStr">
        <is>
          <t>Piutang Usaha &amp; Lainnya</t>
        </is>
      </c>
      <c r="E14" s="8" t="inlineStr">
        <is>
          <t>Asset</t>
        </is>
      </c>
      <c r="F14" s="8" t="n">
        <v>0</v>
      </c>
      <c r="G14" s="9" t="inlineStr">
        <is>
          <t>Receivable</t>
        </is>
      </c>
      <c r="H14" s="9" t="inlineStr">
        <is>
          <t>Piutang</t>
        </is>
      </c>
      <c r="I14" s="9" t="inlineStr">
        <is>
          <t>Akun kontra piutang tak tertagih</t>
        </is>
      </c>
    </row>
    <row r="15" ht="20" customHeight="1">
      <c r="A15" s="10" t="inlineStr">
        <is>
          <t>1123</t>
        </is>
      </c>
      <c r="B15" s="11" t="inlineStr">
        <is>
          <t>Piutang Karyawan &amp; Kasbon</t>
        </is>
      </c>
      <c r="C15" s="10" t="inlineStr">
        <is>
          <t>1120</t>
        </is>
      </c>
      <c r="D15" s="11" t="inlineStr">
        <is>
          <t>Piutang Usaha &amp; Lainnya</t>
        </is>
      </c>
      <c r="E15" s="10" t="inlineStr">
        <is>
          <t>Asset</t>
        </is>
      </c>
      <c r="F15" s="10" t="n">
        <v>0</v>
      </c>
      <c r="G15" s="11" t="inlineStr">
        <is>
          <t>Receivable</t>
        </is>
      </c>
      <c r="H15" s="11" t="inlineStr">
        <is>
          <t>Piutang</t>
        </is>
      </c>
      <c r="I15" s="11" t="inlineStr">
        <is>
          <t>Pinjaman/kasbon sementara staf &amp; buruh pabrik</t>
        </is>
      </c>
    </row>
    <row r="16" ht="20" customHeight="1">
      <c r="A16" s="6" t="inlineStr">
        <is>
          <t>1130</t>
        </is>
      </c>
      <c r="B16" s="7" t="inlineStr">
        <is>
          <t>Persediaan (Stock)</t>
        </is>
      </c>
      <c r="C16" s="6" t="inlineStr">
        <is>
          <t>1100</t>
        </is>
      </c>
      <c r="D16" s="7" t="inlineStr">
        <is>
          <t>Aset Lancar</t>
        </is>
      </c>
      <c r="E16" s="6" t="inlineStr">
        <is>
          <t>Asset</t>
        </is>
      </c>
      <c r="F16" s="6" t="n">
        <v>1</v>
      </c>
      <c r="G16" s="7" t="inlineStr">
        <is>
          <t>Stock</t>
        </is>
      </c>
      <c r="H16" s="7" t="inlineStr">
        <is>
          <t>Persediaan Manufaktur</t>
        </is>
      </c>
      <c r="I16" s="7" t="inlineStr">
        <is>
          <t>Kelompok persediaan bahan &amp; barang manufaktur</t>
        </is>
      </c>
    </row>
    <row r="17" ht="20" customHeight="1">
      <c r="A17" s="10" t="inlineStr">
        <is>
          <t>1131</t>
        </is>
      </c>
      <c r="B17" s="11" t="inlineStr">
        <is>
          <t>Persediaan Bahan Baku (Raw Materials)</t>
        </is>
      </c>
      <c r="C17" s="10" t="inlineStr">
        <is>
          <t>1130</t>
        </is>
      </c>
      <c r="D17" s="11" t="inlineStr">
        <is>
          <t>Persediaan (Stock)</t>
        </is>
      </c>
      <c r="E17" s="10" t="inlineStr">
        <is>
          <t>Asset</t>
        </is>
      </c>
      <c r="F17" s="10" t="n">
        <v>0</v>
      </c>
      <c r="G17" s="11" t="inlineStr">
        <is>
          <t>Stock</t>
        </is>
      </c>
      <c r="H17" s="11" t="inlineStr">
        <is>
          <t>Bahan Baku</t>
        </is>
      </c>
      <c r="I17" s="11" t="inlineStr">
        <is>
          <t>Nilai fisik bahan baku utama produksi</t>
        </is>
      </c>
    </row>
    <row r="18" ht="20" customHeight="1">
      <c r="A18" s="8" t="inlineStr">
        <is>
          <t>1132</t>
        </is>
      </c>
      <c r="B18" s="9" t="inlineStr">
        <is>
          <t>Persediaan Bahan Penolong (Auxiliary Materials)</t>
        </is>
      </c>
      <c r="C18" s="8" t="inlineStr">
        <is>
          <t>1130</t>
        </is>
      </c>
      <c r="D18" s="9" t="inlineStr">
        <is>
          <t>Persediaan (Stock)</t>
        </is>
      </c>
      <c r="E18" s="8" t="inlineStr">
        <is>
          <t>Asset</t>
        </is>
      </c>
      <c r="F18" s="8" t="n">
        <v>0</v>
      </c>
      <c r="G18" s="9" t="inlineStr">
        <is>
          <t>Stock</t>
        </is>
      </c>
      <c r="H18" s="9" t="inlineStr">
        <is>
          <t>Bahan Penolong</t>
        </is>
      </c>
      <c r="I18" s="9" t="inlineStr">
        <is>
          <t>Nilai bahan pelengkap/kimia/perekat produksi</t>
        </is>
      </c>
    </row>
    <row r="19" ht="20" customHeight="1">
      <c r="A19" s="10" t="inlineStr">
        <is>
          <t>1133</t>
        </is>
      </c>
      <c r="B19" s="11" t="inlineStr">
        <is>
          <t>Persediaan Barang Dalam Proses (WIP)</t>
        </is>
      </c>
      <c r="C19" s="10" t="inlineStr">
        <is>
          <t>1130</t>
        </is>
      </c>
      <c r="D19" s="11" t="inlineStr">
        <is>
          <t>Persediaan (Stock)</t>
        </is>
      </c>
      <c r="E19" s="10" t="inlineStr">
        <is>
          <t>Asset</t>
        </is>
      </c>
      <c r="F19" s="10" t="n">
        <v>0</v>
      </c>
      <c r="G19" s="11" t="inlineStr">
        <is>
          <t>Stock</t>
        </is>
      </c>
      <c r="H19" s="11" t="inlineStr">
        <is>
          <t>Barang Dalam Proses (WIP)</t>
        </is>
      </c>
      <c r="I19" s="11" t="inlineStr">
        <is>
          <t>Nilai barang yang sedang diproses di lini produksi</t>
        </is>
      </c>
    </row>
    <row r="20" ht="20" customHeight="1">
      <c r="A20" s="8" t="inlineStr">
        <is>
          <t>1134</t>
        </is>
      </c>
      <c r="B20" s="9" t="inlineStr">
        <is>
          <t>Persediaan Barang Jadi (Finished Goods)</t>
        </is>
      </c>
      <c r="C20" s="8" t="inlineStr">
        <is>
          <t>1130</t>
        </is>
      </c>
      <c r="D20" s="9" t="inlineStr">
        <is>
          <t>Persediaan (Stock)</t>
        </is>
      </c>
      <c r="E20" s="8" t="inlineStr">
        <is>
          <t>Asset</t>
        </is>
      </c>
      <c r="F20" s="8" t="n">
        <v>0</v>
      </c>
      <c r="G20" s="9" t="inlineStr">
        <is>
          <t>Stock</t>
        </is>
      </c>
      <c r="H20" s="9" t="inlineStr">
        <is>
          <t>Barang Jadi</t>
        </is>
      </c>
      <c r="I20" s="9" t="inlineStr">
        <is>
          <t>Nilai barang hasil produksi yang siap dijual</t>
        </is>
      </c>
    </row>
    <row r="21" ht="20" customHeight="1">
      <c r="A21" s="10" t="inlineStr">
        <is>
          <t>1135</t>
        </is>
      </c>
      <c r="B21" s="11" t="inlineStr">
        <is>
          <t>Persediaan Suku Cadang &amp; Mesin (Spareparts)</t>
        </is>
      </c>
      <c r="C21" s="10" t="inlineStr">
        <is>
          <t>1130</t>
        </is>
      </c>
      <c r="D21" s="11" t="inlineStr">
        <is>
          <t>Persediaan (Stock)</t>
        </is>
      </c>
      <c r="E21" s="10" t="inlineStr">
        <is>
          <t>Asset</t>
        </is>
      </c>
      <c r="F21" s="10" t="n">
        <v>0</v>
      </c>
      <c r="G21" s="11" t="inlineStr">
        <is>
          <t>Stock</t>
        </is>
      </c>
      <c r="H21" s="11" t="inlineStr">
        <is>
          <t>Spareparts Mesin</t>
        </is>
      </c>
      <c r="I21" s="11" t="inlineStr">
        <is>
          <t>Nilai suku cadang perbaikan mesin &amp; alat produksi</t>
        </is>
      </c>
    </row>
    <row r="22" ht="20" customHeight="1">
      <c r="A22" s="8" t="inlineStr">
        <is>
          <t>1136</t>
        </is>
      </c>
      <c r="B22" s="9" t="inlineStr">
        <is>
          <t>Persediaan Bahan Kemasan (Packaging)</t>
        </is>
      </c>
      <c r="C22" s="8" t="inlineStr">
        <is>
          <t>1130</t>
        </is>
      </c>
      <c r="D22" s="9" t="inlineStr">
        <is>
          <t>Persediaan (Stock)</t>
        </is>
      </c>
      <c r="E22" s="8" t="inlineStr">
        <is>
          <t>Asset</t>
        </is>
      </c>
      <c r="F22" s="8" t="n">
        <v>0</v>
      </c>
      <c r="G22" s="9" t="inlineStr">
        <is>
          <t>Stock</t>
        </is>
      </c>
      <c r="H22" s="9" t="inlineStr">
        <is>
          <t>Kemasan</t>
        </is>
      </c>
      <c r="I22" s="9" t="inlineStr">
        <is>
          <t>Nilai kardus, plastik, dan bahan pembungkus</t>
        </is>
      </c>
    </row>
    <row r="23" ht="20" customHeight="1">
      <c r="A23" s="10" t="inlineStr">
        <is>
          <t>1137</t>
        </is>
      </c>
      <c r="B23" s="11" t="inlineStr">
        <is>
          <t>Barang Dalam Perjalanan (Stock In Transit)</t>
        </is>
      </c>
      <c r="C23" s="10" t="inlineStr">
        <is>
          <t>1130</t>
        </is>
      </c>
      <c r="D23" s="11" t="inlineStr">
        <is>
          <t>Persediaan (Stock)</t>
        </is>
      </c>
      <c r="E23" s="10" t="inlineStr">
        <is>
          <t>Asset</t>
        </is>
      </c>
      <c r="F23" s="10" t="n">
        <v>0</v>
      </c>
      <c r="G23" s="11" t="inlineStr">
        <is>
          <t>Stock</t>
        </is>
      </c>
      <c r="H23" s="11" t="inlineStr">
        <is>
          <t>Stock In Transit</t>
        </is>
      </c>
      <c r="I23" s="11" t="inlineStr">
        <is>
          <t>Stok bahan baku/barang yang sedang dalam pengiriman</t>
        </is>
      </c>
    </row>
    <row r="24" ht="20" customHeight="1">
      <c r="A24" s="6" t="inlineStr">
        <is>
          <t>1140</t>
        </is>
      </c>
      <c r="B24" s="7" t="inlineStr">
        <is>
          <t>Uang Muka &amp; Biaya Dibayar Muka</t>
        </is>
      </c>
      <c r="C24" s="6" t="inlineStr">
        <is>
          <t>1100</t>
        </is>
      </c>
      <c r="D24" s="7" t="inlineStr">
        <is>
          <t>Aset Lancar</t>
        </is>
      </c>
      <c r="E24" s="6" t="inlineStr">
        <is>
          <t>Asset</t>
        </is>
      </c>
      <c r="F24" s="6" t="n">
        <v>1</v>
      </c>
      <c r="G24" s="7" t="inlineStr"/>
      <c r="H24" s="7" t="inlineStr">
        <is>
          <t>Uang Muka</t>
        </is>
      </c>
      <c r="I24" s="7" t="inlineStr">
        <is>
          <t>Pembayaran di awal untuk vendor/sewa/pajak</t>
        </is>
      </c>
    </row>
    <row r="25" ht="20" customHeight="1">
      <c r="A25" s="10" t="inlineStr">
        <is>
          <t>1141</t>
        </is>
      </c>
      <c r="B25" s="11" t="inlineStr">
        <is>
          <t>Uang Muka Pembelian Bahan Baku</t>
        </is>
      </c>
      <c r="C25" s="10" t="inlineStr">
        <is>
          <t>1140</t>
        </is>
      </c>
      <c r="D25" s="11" t="inlineStr">
        <is>
          <t>Uang Muka &amp; Biaya Dibayar Muka</t>
        </is>
      </c>
      <c r="E25" s="10" t="inlineStr">
        <is>
          <t>Asset</t>
        </is>
      </c>
      <c r="F25" s="10" t="n">
        <v>0</v>
      </c>
      <c r="G25" s="11" t="inlineStr">
        <is>
          <t>Payable</t>
        </is>
      </c>
      <c r="H25" s="11" t="inlineStr">
        <is>
          <t>Uang Muka Vendor</t>
        </is>
      </c>
      <c r="I25" s="11" t="inlineStr">
        <is>
          <t>DP/Uang muka pembelian ke supplier bahan baku</t>
        </is>
      </c>
    </row>
    <row r="26" ht="20" customHeight="1">
      <c r="A26" s="8" t="inlineStr">
        <is>
          <t>1142</t>
        </is>
      </c>
      <c r="B26" s="9" t="inlineStr">
        <is>
          <t>Uang Muka Sewa Gedung Pabrik</t>
        </is>
      </c>
      <c r="C26" s="8" t="inlineStr">
        <is>
          <t>1140</t>
        </is>
      </c>
      <c r="D26" s="9" t="inlineStr">
        <is>
          <t>Uang Muka &amp; Biaya Dibayar Muka</t>
        </is>
      </c>
      <c r="E26" s="8" t="inlineStr">
        <is>
          <t>Asset</t>
        </is>
      </c>
      <c r="F26" s="8" t="n">
        <v>0</v>
      </c>
      <c r="G26" s="9" t="inlineStr"/>
      <c r="H26" s="9" t="inlineStr">
        <is>
          <t>Uang Muka Sewa</t>
        </is>
      </c>
      <c r="I26" s="9" t="inlineStr">
        <is>
          <t>Sewa gedung/lahan pabrik dibayar di muka</t>
        </is>
      </c>
    </row>
    <row r="27" ht="20" customHeight="1">
      <c r="A27" s="10" t="inlineStr">
        <is>
          <t>1143</t>
        </is>
      </c>
      <c r="B27" s="11" t="inlineStr">
        <is>
          <t>Uang Muka Asuransi Mesin &amp; Pabrik</t>
        </is>
      </c>
      <c r="C27" s="10" t="inlineStr">
        <is>
          <t>1140</t>
        </is>
      </c>
      <c r="D27" s="11" t="inlineStr">
        <is>
          <t>Uang Muka &amp; Biaya Dibayar Muka</t>
        </is>
      </c>
      <c r="E27" s="10" t="inlineStr">
        <is>
          <t>Asset</t>
        </is>
      </c>
      <c r="F27" s="10" t="n">
        <v>0</v>
      </c>
      <c r="G27" s="11" t="inlineStr"/>
      <c r="H27" s="11" t="inlineStr">
        <is>
          <t>Uang Muka Asuransi</t>
        </is>
      </c>
      <c r="I27" s="11" t="inlineStr">
        <is>
          <t>Asuransi kebakaran/mesin dibayar di muka</t>
        </is>
      </c>
    </row>
    <row r="28" ht="20" customHeight="1">
      <c r="A28" s="8" t="inlineStr">
        <is>
          <t>1144</t>
        </is>
      </c>
      <c r="B28" s="9" t="inlineStr">
        <is>
          <t>PPN Masukan (Input VAT)</t>
        </is>
      </c>
      <c r="C28" s="8" t="inlineStr">
        <is>
          <t>1140</t>
        </is>
      </c>
      <c r="D28" s="9" t="inlineStr">
        <is>
          <t>Uang Muka &amp; Biaya Dibayar Muka</t>
        </is>
      </c>
      <c r="E28" s="8" t="inlineStr">
        <is>
          <t>Asset</t>
        </is>
      </c>
      <c r="F28" s="8" t="n">
        <v>0</v>
      </c>
      <c r="G28" s="9" t="inlineStr">
        <is>
          <t>Tax</t>
        </is>
      </c>
      <c r="H28" s="9" t="inlineStr">
        <is>
          <t>Pajak Masukan</t>
        </is>
      </c>
      <c r="I28" s="9" t="inlineStr">
        <is>
          <t>PPN 11% atas pembelian bahan baku &amp; jasa</t>
        </is>
      </c>
    </row>
    <row r="29" ht="20" customHeight="1">
      <c r="A29" s="6" t="inlineStr">
        <is>
          <t>1200</t>
        </is>
      </c>
      <c r="B29" s="7" t="inlineStr">
        <is>
          <t>Aset Tetap (Fixed Assets)</t>
        </is>
      </c>
      <c r="C29" s="6" t="inlineStr">
        <is>
          <t>1000</t>
        </is>
      </c>
      <c r="D29" s="7" t="inlineStr">
        <is>
          <t>ASET</t>
        </is>
      </c>
      <c r="E29" s="6" t="inlineStr">
        <is>
          <t>Asset</t>
        </is>
      </c>
      <c r="F29" s="6" t="n">
        <v>1</v>
      </c>
      <c r="G29" s="7" t="inlineStr">
        <is>
          <t>Fixed Asset</t>
        </is>
      </c>
      <c r="H29" s="7" t="inlineStr">
        <is>
          <t>Aset Tetap</t>
        </is>
      </c>
      <c r="I29" s="7" t="inlineStr">
        <is>
          <t>Induk seluruh aset tetap pabrik &amp; kantor</t>
        </is>
      </c>
    </row>
    <row r="30" ht="20" customHeight="1">
      <c r="A30" s="6" t="inlineStr">
        <is>
          <t>1210</t>
        </is>
      </c>
      <c r="B30" s="7" t="inlineStr">
        <is>
          <t>Tanah &amp; Bangunan Pabrik</t>
        </is>
      </c>
      <c r="C30" s="6" t="inlineStr">
        <is>
          <t>1200</t>
        </is>
      </c>
      <c r="D30" s="7" t="inlineStr">
        <is>
          <t>Aset Tetap (Fixed Assets)</t>
        </is>
      </c>
      <c r="E30" s="6" t="inlineStr">
        <is>
          <t>Asset</t>
        </is>
      </c>
      <c r="F30" s="6" t="n">
        <v>1</v>
      </c>
      <c r="G30" s="7" t="inlineStr">
        <is>
          <t>Fixed Asset</t>
        </is>
      </c>
      <c r="H30" s="7" t="inlineStr">
        <is>
          <t>Infrastruktur Pabrik</t>
        </is>
      </c>
      <c r="I30" s="7" t="inlineStr">
        <is>
          <t>Infrastruktur tanah &amp; gedung pabrik</t>
        </is>
      </c>
    </row>
    <row r="31" ht="20" customHeight="1">
      <c r="A31" s="10" t="inlineStr">
        <is>
          <t>1211</t>
        </is>
      </c>
      <c r="B31" s="11" t="inlineStr">
        <is>
          <t>Tanah Pabrik</t>
        </is>
      </c>
      <c r="C31" s="10" t="inlineStr">
        <is>
          <t>1210</t>
        </is>
      </c>
      <c r="D31" s="11" t="inlineStr">
        <is>
          <t>Tanah &amp; Bangunan Pabrik</t>
        </is>
      </c>
      <c r="E31" s="10" t="inlineStr">
        <is>
          <t>Asset</t>
        </is>
      </c>
      <c r="F31" s="10" t="n">
        <v>0</v>
      </c>
      <c r="G31" s="11" t="inlineStr">
        <is>
          <t>Fixed Asset</t>
        </is>
      </c>
      <c r="H31" s="11" t="inlineStr">
        <is>
          <t>Infrastruktur Pabrik</t>
        </is>
      </c>
      <c r="I31" s="11" t="inlineStr">
        <is>
          <t>Nilai perolehan tanah pabrik &amp; pergudangan</t>
        </is>
      </c>
    </row>
    <row r="32" ht="20" customHeight="1">
      <c r="A32" s="8" t="inlineStr">
        <is>
          <t>1212</t>
        </is>
      </c>
      <c r="B32" s="9" t="inlineStr">
        <is>
          <t>Bangunan &amp; Gedung Pabrik</t>
        </is>
      </c>
      <c r="C32" s="8" t="inlineStr">
        <is>
          <t>1210</t>
        </is>
      </c>
      <c r="D32" s="9" t="inlineStr">
        <is>
          <t>Tanah &amp; Bangunan Pabrik</t>
        </is>
      </c>
      <c r="E32" s="8" t="inlineStr">
        <is>
          <t>Asset</t>
        </is>
      </c>
      <c r="F32" s="8" t="n">
        <v>0</v>
      </c>
      <c r="G32" s="9" t="inlineStr">
        <is>
          <t>Fixed Asset</t>
        </is>
      </c>
      <c r="H32" s="9" t="inlineStr">
        <is>
          <t>Infrastruktur Pabrik</t>
        </is>
      </c>
      <c r="I32" s="9" t="inlineStr">
        <is>
          <t>Nilai perolehan gedung pabrik &amp; gudang</t>
        </is>
      </c>
    </row>
    <row r="33" ht="20" customHeight="1">
      <c r="A33" s="10" t="inlineStr">
        <is>
          <t>1213</t>
        </is>
      </c>
      <c r="B33" s="11" t="inlineStr">
        <is>
          <t>Akum. Penyusutan Bangunan Pabrik</t>
        </is>
      </c>
      <c r="C33" s="10" t="inlineStr">
        <is>
          <t>1210</t>
        </is>
      </c>
      <c r="D33" s="11" t="inlineStr">
        <is>
          <t>Tanah &amp; Bangunan Pabrik</t>
        </is>
      </c>
      <c r="E33" s="10" t="inlineStr">
        <is>
          <t>Asset</t>
        </is>
      </c>
      <c r="F33" s="10" t="n">
        <v>0</v>
      </c>
      <c r="G33" s="11" t="inlineStr">
        <is>
          <t>Accumulated Depreciation</t>
        </is>
      </c>
      <c r="H33" s="11" t="inlineStr">
        <is>
          <t>Penyusutan</t>
        </is>
      </c>
      <c r="I33" s="11" t="inlineStr">
        <is>
          <t>Akumulasi depresiasi gedung pabrik (kontra aset)</t>
        </is>
      </c>
    </row>
    <row r="34" ht="20" customHeight="1">
      <c r="A34" s="6" t="inlineStr">
        <is>
          <t>1220</t>
        </is>
      </c>
      <c r="B34" s="7" t="inlineStr">
        <is>
          <t>Mesin &amp; Peralatan Produksi</t>
        </is>
      </c>
      <c r="C34" s="6" t="inlineStr">
        <is>
          <t>1200</t>
        </is>
      </c>
      <c r="D34" s="7" t="inlineStr">
        <is>
          <t>Aset Tetap (Fixed Assets)</t>
        </is>
      </c>
      <c r="E34" s="6" t="inlineStr">
        <is>
          <t>Asset</t>
        </is>
      </c>
      <c r="F34" s="6" t="n">
        <v>1</v>
      </c>
      <c r="G34" s="7" t="inlineStr">
        <is>
          <t>Fixed Asset</t>
        </is>
      </c>
      <c r="H34" s="7" t="inlineStr">
        <is>
          <t>Mesin Produksi</t>
        </is>
      </c>
      <c r="I34" s="7" t="inlineStr">
        <is>
          <t>Seluruh lini mesin produksi manufaktur</t>
        </is>
      </c>
    </row>
    <row r="35" ht="20" customHeight="1">
      <c r="A35" s="10" t="inlineStr">
        <is>
          <t>1221</t>
        </is>
      </c>
      <c r="B35" s="11" t="inlineStr">
        <is>
          <t>Mesin Produksi &amp; Lini Perakitan</t>
        </is>
      </c>
      <c r="C35" s="10" t="inlineStr">
        <is>
          <t>1220</t>
        </is>
      </c>
      <c r="D35" s="11" t="inlineStr">
        <is>
          <t>Mesin &amp; Peralatan Produksi</t>
        </is>
      </c>
      <c r="E35" s="10" t="inlineStr">
        <is>
          <t>Asset</t>
        </is>
      </c>
      <c r="F35" s="10" t="n">
        <v>0</v>
      </c>
      <c r="G35" s="11" t="inlineStr">
        <is>
          <t>Fixed Asset</t>
        </is>
      </c>
      <c r="H35" s="11" t="inlineStr">
        <is>
          <t>Mesin Produksi</t>
        </is>
      </c>
      <c r="I35" s="11" t="inlineStr">
        <is>
          <t>Nilai perolehan mesin CNC, cetak, potong, dll.</t>
        </is>
      </c>
    </row>
    <row r="36" ht="20" customHeight="1">
      <c r="A36" s="8" t="inlineStr">
        <is>
          <t>1222</t>
        </is>
      </c>
      <c r="B36" s="9" t="inlineStr">
        <is>
          <t>Akum. Penyusutan Mesin Produksi</t>
        </is>
      </c>
      <c r="C36" s="8" t="inlineStr">
        <is>
          <t>1220</t>
        </is>
      </c>
      <c r="D36" s="9" t="inlineStr">
        <is>
          <t>Mesin &amp; Peralatan Produksi</t>
        </is>
      </c>
      <c r="E36" s="8" t="inlineStr">
        <is>
          <t>Asset</t>
        </is>
      </c>
      <c r="F36" s="8" t="n">
        <v>0</v>
      </c>
      <c r="G36" s="9" t="inlineStr">
        <is>
          <t>Accumulated Depreciation</t>
        </is>
      </c>
      <c r="H36" s="9" t="inlineStr">
        <is>
          <t>Penyusutan</t>
        </is>
      </c>
      <c r="I36" s="9" t="inlineStr">
        <is>
          <t>Akumulasi depresiasi mesin pabrik</t>
        </is>
      </c>
    </row>
    <row r="37" ht="20" customHeight="1">
      <c r="A37" s="10" t="inlineStr">
        <is>
          <t>1223</t>
        </is>
      </c>
      <c r="B37" s="11" t="inlineStr">
        <is>
          <t>Alat Berat &amp; Forklift Pabrik</t>
        </is>
      </c>
      <c r="C37" s="10" t="inlineStr">
        <is>
          <t>1220</t>
        </is>
      </c>
      <c r="D37" s="11" t="inlineStr">
        <is>
          <t>Mesin &amp; Peralatan Produksi</t>
        </is>
      </c>
      <c r="E37" s="10" t="inlineStr">
        <is>
          <t>Asset</t>
        </is>
      </c>
      <c r="F37" s="10" t="n">
        <v>0</v>
      </c>
      <c r="G37" s="11" t="inlineStr">
        <is>
          <t>Fixed Asset</t>
        </is>
      </c>
      <c r="H37" s="11" t="inlineStr">
        <is>
          <t>Alat Berat Pabrik</t>
        </is>
      </c>
      <c r="I37" s="11" t="inlineStr">
        <is>
          <t>Nilai perolehan forklift, loader, crane pabrik</t>
        </is>
      </c>
    </row>
    <row r="38" ht="20" customHeight="1">
      <c r="A38" s="8" t="inlineStr">
        <is>
          <t>1224</t>
        </is>
      </c>
      <c r="B38" s="9" t="inlineStr">
        <is>
          <t>Akum. Penyusutan Alat Berat</t>
        </is>
      </c>
      <c r="C38" s="8" t="inlineStr">
        <is>
          <t>1220</t>
        </is>
      </c>
      <c r="D38" s="9" t="inlineStr">
        <is>
          <t>Mesin &amp; Peralatan Produksi</t>
        </is>
      </c>
      <c r="E38" s="8" t="inlineStr">
        <is>
          <t>Asset</t>
        </is>
      </c>
      <c r="F38" s="8" t="n">
        <v>0</v>
      </c>
      <c r="G38" s="9" t="inlineStr">
        <is>
          <t>Accumulated Depreciation</t>
        </is>
      </c>
      <c r="H38" s="9" t="inlineStr">
        <is>
          <t>Penyusutan</t>
        </is>
      </c>
      <c r="I38" s="9" t="inlineStr">
        <is>
          <t>Akumulasi depresiasi alat berat pabrik</t>
        </is>
      </c>
    </row>
    <row r="39" ht="20" customHeight="1">
      <c r="A39" s="6" t="inlineStr">
        <is>
          <t>1230</t>
        </is>
      </c>
      <c r="B39" s="7" t="inlineStr">
        <is>
          <t>Inventaris &amp; IT Kantor</t>
        </is>
      </c>
      <c r="C39" s="6" t="inlineStr">
        <is>
          <t>1200</t>
        </is>
      </c>
      <c r="D39" s="7" t="inlineStr">
        <is>
          <t>Aset Tetap (Fixed Assets)</t>
        </is>
      </c>
      <c r="E39" s="6" t="inlineStr">
        <is>
          <t>Asset</t>
        </is>
      </c>
      <c r="F39" s="6" t="n">
        <v>1</v>
      </c>
      <c r="G39" s="7" t="inlineStr">
        <is>
          <t>Fixed Asset</t>
        </is>
      </c>
      <c r="H39" s="7" t="inlineStr">
        <is>
          <t>Aset Kantor</t>
        </is>
      </c>
      <c r="I39" s="7" t="inlineStr">
        <is>
          <t>Peralatan pendukung kantor &amp; sistem IT</t>
        </is>
      </c>
    </row>
    <row r="40" ht="20" customHeight="1">
      <c r="A40" s="8" t="inlineStr">
        <is>
          <t>1231</t>
        </is>
      </c>
      <c r="B40" s="9" t="inlineStr">
        <is>
          <t>Peralatan Kantor, Komputer &amp; Server</t>
        </is>
      </c>
      <c r="C40" s="8" t="inlineStr">
        <is>
          <t>1230</t>
        </is>
      </c>
      <c r="D40" s="9" t="inlineStr">
        <is>
          <t>Inventaris &amp; IT Kantor</t>
        </is>
      </c>
      <c r="E40" s="8" t="inlineStr">
        <is>
          <t>Asset</t>
        </is>
      </c>
      <c r="F40" s="8" t="n">
        <v>0</v>
      </c>
      <c r="G40" s="9" t="inlineStr">
        <is>
          <t>Fixed Asset</t>
        </is>
      </c>
      <c r="H40" s="9" t="inlineStr">
        <is>
          <t>Aset Kantor</t>
        </is>
      </c>
      <c r="I40" s="9" t="inlineStr">
        <is>
          <t>Komputer, laptop, server ERP, dan meja kantor</t>
        </is>
      </c>
    </row>
    <row r="41" ht="20" customHeight="1">
      <c r="A41" s="10" t="inlineStr">
        <is>
          <t>1232</t>
        </is>
      </c>
      <c r="B41" s="11" t="inlineStr">
        <is>
          <t>Akum. Penyusutan Peralatan Kantor</t>
        </is>
      </c>
      <c r="C41" s="10" t="inlineStr">
        <is>
          <t>1230</t>
        </is>
      </c>
      <c r="D41" s="11" t="inlineStr">
        <is>
          <t>Inventaris &amp; IT Kantor</t>
        </is>
      </c>
      <c r="E41" s="10" t="inlineStr">
        <is>
          <t>Asset</t>
        </is>
      </c>
      <c r="F41" s="10" t="n">
        <v>0</v>
      </c>
      <c r="G41" s="11" t="inlineStr">
        <is>
          <t>Accumulated Depreciation</t>
        </is>
      </c>
      <c r="H41" s="11" t="inlineStr">
        <is>
          <t>Penyusutan</t>
        </is>
      </c>
      <c r="I41" s="11" t="inlineStr">
        <is>
          <t>Akumulasi depresiasi peralatan kantor</t>
        </is>
      </c>
    </row>
    <row r="42" ht="20" customHeight="1">
      <c r="A42" s="4" t="inlineStr">
        <is>
          <t>2000</t>
        </is>
      </c>
      <c r="B42" s="5" t="inlineStr">
        <is>
          <t>KEWAJIBAN (LIABILITAS)</t>
        </is>
      </c>
      <c r="C42" s="4" t="inlineStr"/>
      <c r="D42" s="5" t="inlineStr"/>
      <c r="E42" s="4" t="inlineStr">
        <is>
          <t>Liability</t>
        </is>
      </c>
      <c r="F42" s="4" t="n">
        <v>1</v>
      </c>
      <c r="G42" s="5" t="inlineStr"/>
      <c r="H42" s="5" t="inlineStr">
        <is>
          <t>Header Utama</t>
        </is>
      </c>
      <c r="I42" s="5" t="inlineStr">
        <is>
          <t>Induk utama seluruh hutang &amp; kewajiban</t>
        </is>
      </c>
    </row>
    <row r="43" ht="20" customHeight="1">
      <c r="A43" s="6" t="inlineStr">
        <is>
          <t>2100</t>
        </is>
      </c>
      <c r="B43" s="7" t="inlineStr">
        <is>
          <t>Kewajiban Jangka Pendek</t>
        </is>
      </c>
      <c r="C43" s="6" t="inlineStr">
        <is>
          <t>2000</t>
        </is>
      </c>
      <c r="D43" s="7" t="inlineStr">
        <is>
          <t>KEWAJIBAN (LIABILITAS)</t>
        </is>
      </c>
      <c r="E43" s="6" t="inlineStr">
        <is>
          <t>Liability</t>
        </is>
      </c>
      <c r="F43" s="6" t="n">
        <v>1</v>
      </c>
      <c r="G43" s="7" t="inlineStr"/>
      <c r="H43" s="7" t="inlineStr">
        <is>
          <t>Hutang Lancar</t>
        </is>
      </c>
      <c r="I43" s="7" t="inlineStr">
        <is>
          <t>Kewajiban yang harus dilunasi dalam &lt;1 tahun</t>
        </is>
      </c>
    </row>
    <row r="44" ht="20" customHeight="1">
      <c r="A44" s="6" t="inlineStr">
        <is>
          <t>2110</t>
        </is>
      </c>
      <c r="B44" s="7" t="inlineStr">
        <is>
          <t>Hutang Usaha &amp; Pengadaan</t>
        </is>
      </c>
      <c r="C44" s="6" t="inlineStr">
        <is>
          <t>2100</t>
        </is>
      </c>
      <c r="D44" s="7" t="inlineStr">
        <is>
          <t>Kewajiban Jangka Pendek</t>
        </is>
      </c>
      <c r="E44" s="6" t="inlineStr">
        <is>
          <t>Liability</t>
        </is>
      </c>
      <c r="F44" s="6" t="n">
        <v>1</v>
      </c>
      <c r="G44" s="7" t="inlineStr">
        <is>
          <t>Payable</t>
        </is>
      </c>
      <c r="H44" s="7" t="inlineStr">
        <is>
          <t>Hutang Usaha</t>
        </is>
      </c>
      <c r="I44" s="7" t="inlineStr">
        <is>
          <t>Kelompok hutang ke supplier &amp; subkontraktor</t>
        </is>
      </c>
    </row>
    <row r="45" ht="20" customHeight="1">
      <c r="A45" s="10" t="inlineStr">
        <is>
          <t>2111</t>
        </is>
      </c>
      <c r="B45" s="11" t="inlineStr">
        <is>
          <t>Hutang Dagang (Pemasok Bahan Baku)</t>
        </is>
      </c>
      <c r="C45" s="10" t="inlineStr">
        <is>
          <t>2110</t>
        </is>
      </c>
      <c r="D45" s="11" t="inlineStr">
        <is>
          <t>Hutang Usaha &amp; Pengadaan</t>
        </is>
      </c>
      <c r="E45" s="10" t="inlineStr">
        <is>
          <t>Liability</t>
        </is>
      </c>
      <c r="F45" s="10" t="n">
        <v>0</v>
      </c>
      <c r="G45" s="11" t="inlineStr">
        <is>
          <t>Payable</t>
        </is>
      </c>
      <c r="H45" s="11" t="inlineStr">
        <is>
          <t>Hutang Bahan Baku</t>
        </is>
      </c>
      <c r="I45" s="11" t="inlineStr">
        <is>
          <t>Terikat otomatis ke Purchase Invoice Supplier</t>
        </is>
      </c>
    </row>
    <row r="46" ht="20" customHeight="1">
      <c r="A46" s="8" t="inlineStr">
        <is>
          <t>2112</t>
        </is>
      </c>
      <c r="B46" s="9" t="inlineStr">
        <is>
          <t>Hutang Jasa Makloon (Subkontrak)</t>
        </is>
      </c>
      <c r="C46" s="8" t="inlineStr">
        <is>
          <t>2110</t>
        </is>
      </c>
      <c r="D46" s="9" t="inlineStr">
        <is>
          <t>Hutang Usaha &amp; Pengadaan</t>
        </is>
      </c>
      <c r="E46" s="8" t="inlineStr">
        <is>
          <t>Liability</t>
        </is>
      </c>
      <c r="F46" s="8" t="n">
        <v>0</v>
      </c>
      <c r="G46" s="9" t="inlineStr">
        <is>
          <t>Payable</t>
        </is>
      </c>
      <c r="H46" s="9" t="inlineStr">
        <is>
          <t>Hutang Makloon</t>
        </is>
      </c>
      <c r="I46" s="9" t="inlineStr">
        <is>
          <t>Hutang atas pekerjaan produksi yang di-subkontrakkan</t>
        </is>
      </c>
    </row>
    <row r="47" ht="20" customHeight="1">
      <c r="A47" s="10" t="inlineStr">
        <is>
          <t>2113</t>
        </is>
      </c>
      <c r="B47" s="11" t="inlineStr">
        <is>
          <t>Uang Muka Penjualan (Customer Advance)</t>
        </is>
      </c>
      <c r="C47" s="10" t="inlineStr">
        <is>
          <t>2110</t>
        </is>
      </c>
      <c r="D47" s="11" t="inlineStr">
        <is>
          <t>Hutang Usaha &amp; Pengadaan</t>
        </is>
      </c>
      <c r="E47" s="10" t="inlineStr">
        <is>
          <t>Liability</t>
        </is>
      </c>
      <c r="F47" s="10" t="n">
        <v>0</v>
      </c>
      <c r="G47" s="11" t="inlineStr">
        <is>
          <t>Receivable</t>
        </is>
      </c>
      <c r="H47" s="11" t="inlineStr">
        <is>
          <t>Uang Muka Pelanggan</t>
        </is>
      </c>
      <c r="I47" s="11" t="inlineStr">
        <is>
          <t>DP/Uang muka dari customer atas pesanan barang</t>
        </is>
      </c>
    </row>
    <row r="48" ht="20" customHeight="1">
      <c r="A48" s="6" t="inlineStr">
        <is>
          <t>2120</t>
        </is>
      </c>
      <c r="B48" s="7" t="inlineStr">
        <is>
          <t>Beban Akrual &amp; Masih Harus Dibayar</t>
        </is>
      </c>
      <c r="C48" s="6" t="inlineStr">
        <is>
          <t>2100</t>
        </is>
      </c>
      <c r="D48" s="7" t="inlineStr">
        <is>
          <t>Kewajiban Jangka Pendek</t>
        </is>
      </c>
      <c r="E48" s="6" t="inlineStr">
        <is>
          <t>Liability</t>
        </is>
      </c>
      <c r="F48" s="6" t="n">
        <v>1</v>
      </c>
      <c r="G48" s="7" t="inlineStr"/>
      <c r="H48" s="7" t="inlineStr">
        <is>
          <t>Beban Akrual</t>
        </is>
      </c>
      <c r="I48" s="7" t="inlineStr">
        <is>
          <t>Akrual gaji, utilitas, dan kewajiban harian</t>
        </is>
      </c>
    </row>
    <row r="49" ht="20" customHeight="1">
      <c r="A49" s="10" t="inlineStr">
        <is>
          <t>2121</t>
        </is>
      </c>
      <c r="B49" s="11" t="inlineStr">
        <is>
          <t>Hutang Gaji &amp; Upah Buruh Pabrik</t>
        </is>
      </c>
      <c r="C49" s="10" t="inlineStr">
        <is>
          <t>2120</t>
        </is>
      </c>
      <c r="D49" s="11" t="inlineStr">
        <is>
          <t>Beban Akrual &amp; Masih Harus Dibayar</t>
        </is>
      </c>
      <c r="E49" s="10" t="inlineStr">
        <is>
          <t>Liability</t>
        </is>
      </c>
      <c r="F49" s="10" t="n">
        <v>0</v>
      </c>
      <c r="G49" s="11" t="inlineStr">
        <is>
          <t>Payable</t>
        </is>
      </c>
      <c r="H49" s="11" t="inlineStr">
        <is>
          <t>Akrual Gaji</t>
        </is>
      </c>
      <c r="I49" s="11" t="inlineStr">
        <is>
          <t>Gaji buruh &amp; staf pabrik yang belum dicairkan</t>
        </is>
      </c>
    </row>
    <row r="50" ht="20" customHeight="1">
      <c r="A50" s="8" t="inlineStr">
        <is>
          <t>2122</t>
        </is>
      </c>
      <c r="B50" s="9" t="inlineStr">
        <is>
          <t>Hutang Listrik, Air &amp; Utilitas Pabrik</t>
        </is>
      </c>
      <c r="C50" s="8" t="inlineStr">
        <is>
          <t>2120</t>
        </is>
      </c>
      <c r="D50" s="9" t="inlineStr">
        <is>
          <t>Beban Akrual &amp; Masih Harus Dibayar</t>
        </is>
      </c>
      <c r="E50" s="8" t="inlineStr">
        <is>
          <t>Liability</t>
        </is>
      </c>
      <c r="F50" s="8" t="n">
        <v>0</v>
      </c>
      <c r="G50" s="9" t="inlineStr"/>
      <c r="H50" s="9" t="inlineStr">
        <is>
          <t>Akrual Utilitas</t>
        </is>
      </c>
      <c r="I50" s="9" t="inlineStr">
        <is>
          <t>Tagihan PLN industri/utilitas bulan berjalan</t>
        </is>
      </c>
    </row>
    <row r="51" ht="20" customHeight="1">
      <c r="A51" s="10" t="inlineStr">
        <is>
          <t>2123</t>
        </is>
      </c>
      <c r="B51" s="11" t="inlineStr">
        <is>
          <t>Hutang BPJS Ketenagakerjaan &amp; Kesehatan</t>
        </is>
      </c>
      <c r="C51" s="10" t="inlineStr">
        <is>
          <t>2120</t>
        </is>
      </c>
      <c r="D51" s="11" t="inlineStr">
        <is>
          <t>Beban Akrual &amp; Masih Harus Dibayar</t>
        </is>
      </c>
      <c r="E51" s="10" t="inlineStr">
        <is>
          <t>Liability</t>
        </is>
      </c>
      <c r="F51" s="10" t="n">
        <v>0</v>
      </c>
      <c r="G51" s="11" t="inlineStr"/>
      <c r="H51" s="11" t="inlineStr">
        <is>
          <t>Akrual BPJS</t>
        </is>
      </c>
      <c r="I51" s="11" t="inlineStr">
        <is>
          <t>Iuran BPJS buruh &amp; staf pabrik</t>
        </is>
      </c>
    </row>
    <row r="52" ht="20" customHeight="1">
      <c r="A52" s="6" t="inlineStr">
        <is>
          <t>2130</t>
        </is>
      </c>
      <c r="B52" s="7" t="inlineStr">
        <is>
          <t>Kewajiban Perpajakan</t>
        </is>
      </c>
      <c r="C52" s="6" t="inlineStr">
        <is>
          <t>2100</t>
        </is>
      </c>
      <c r="D52" s="7" t="inlineStr">
        <is>
          <t>Kewajiban Jangka Pendek</t>
        </is>
      </c>
      <c r="E52" s="6" t="inlineStr">
        <is>
          <t>Liability</t>
        </is>
      </c>
      <c r="F52" s="6" t="n">
        <v>1</v>
      </c>
      <c r="G52" s="7" t="inlineStr">
        <is>
          <t>Tax</t>
        </is>
      </c>
      <c r="H52" s="7" t="inlineStr">
        <is>
          <t>Pajak</t>
        </is>
      </c>
      <c r="I52" s="7" t="inlineStr">
        <is>
          <t>Seluruh kewajiban pajak ke kas negara</t>
        </is>
      </c>
    </row>
    <row r="53" ht="20" customHeight="1">
      <c r="A53" s="10" t="inlineStr">
        <is>
          <t>2131</t>
        </is>
      </c>
      <c r="B53" s="11" t="inlineStr">
        <is>
          <t>PPN Keluaran (Output VAT)</t>
        </is>
      </c>
      <c r="C53" s="10" t="inlineStr">
        <is>
          <t>2130</t>
        </is>
      </c>
      <c r="D53" s="11" t="inlineStr">
        <is>
          <t>Kewajiban Perpajakan</t>
        </is>
      </c>
      <c r="E53" s="10" t="inlineStr">
        <is>
          <t>Liability</t>
        </is>
      </c>
      <c r="F53" s="10" t="n">
        <v>0</v>
      </c>
      <c r="G53" s="11" t="inlineStr">
        <is>
          <t>Tax</t>
        </is>
      </c>
      <c r="H53" s="11" t="inlineStr">
        <is>
          <t>Pajak Keluaran</t>
        </is>
      </c>
      <c r="I53" s="11" t="inlineStr">
        <is>
          <t>PPN 11% yang dipungut dari hasil penjualan barang</t>
        </is>
      </c>
    </row>
    <row r="54" ht="20" customHeight="1">
      <c r="A54" s="8" t="inlineStr">
        <is>
          <t>2132</t>
        </is>
      </c>
      <c r="B54" s="9" t="inlineStr">
        <is>
          <t>Hutang PPh 21 (Gaji &amp; Buruh)</t>
        </is>
      </c>
      <c r="C54" s="8" t="inlineStr">
        <is>
          <t>2130</t>
        </is>
      </c>
      <c r="D54" s="9" t="inlineStr">
        <is>
          <t>Kewajiban Perpajakan</t>
        </is>
      </c>
      <c r="E54" s="8" t="inlineStr">
        <is>
          <t>Liability</t>
        </is>
      </c>
      <c r="F54" s="8" t="n">
        <v>0</v>
      </c>
      <c r="G54" s="9" t="inlineStr">
        <is>
          <t>Tax</t>
        </is>
      </c>
      <c r="H54" s="9" t="inlineStr">
        <is>
          <t>Pajak Karyawan</t>
        </is>
      </c>
      <c r="I54" s="9" t="inlineStr">
        <is>
          <t>Potongan PPh 21 atas gaji staf &amp; upah buruh</t>
        </is>
      </c>
    </row>
    <row r="55" ht="20" customHeight="1">
      <c r="A55" s="10" t="inlineStr">
        <is>
          <t>2133</t>
        </is>
      </c>
      <c r="B55" s="11" t="inlineStr">
        <is>
          <t>Hutang PPh 22 (Impor Bahan Baku)</t>
        </is>
      </c>
      <c r="C55" s="10" t="inlineStr">
        <is>
          <t>2130</t>
        </is>
      </c>
      <c r="D55" s="11" t="inlineStr">
        <is>
          <t>Kewajiban Perpajakan</t>
        </is>
      </c>
      <c r="E55" s="10" t="inlineStr">
        <is>
          <t>Liability</t>
        </is>
      </c>
      <c r="F55" s="10" t="n">
        <v>0</v>
      </c>
      <c r="G55" s="11" t="inlineStr">
        <is>
          <t>Tax</t>
        </is>
      </c>
      <c r="H55" s="11" t="inlineStr">
        <is>
          <t>Pajak Impor</t>
        </is>
      </c>
      <c r="I55" s="11" t="inlineStr">
        <is>
          <t>PPh 22 atas impor bahan baku/peralatan</t>
        </is>
      </c>
    </row>
    <row r="56" ht="20" customHeight="1">
      <c r="A56" s="8" t="inlineStr">
        <is>
          <t>2134</t>
        </is>
      </c>
      <c r="B56" s="9" t="inlineStr">
        <is>
          <t>Hutang PPh 23 (Makloon &amp; Sewa)</t>
        </is>
      </c>
      <c r="C56" s="8" t="inlineStr">
        <is>
          <t>2130</t>
        </is>
      </c>
      <c r="D56" s="9" t="inlineStr">
        <is>
          <t>Kewajiban Perpajakan</t>
        </is>
      </c>
      <c r="E56" s="8" t="inlineStr">
        <is>
          <t>Liability</t>
        </is>
      </c>
      <c r="F56" s="8" t="n">
        <v>0</v>
      </c>
      <c r="G56" s="9" t="inlineStr">
        <is>
          <t>Tax</t>
        </is>
      </c>
      <c r="H56" s="9" t="inlineStr">
        <is>
          <t>Pajak Jasa</t>
        </is>
      </c>
      <c r="I56" s="9" t="inlineStr">
        <is>
          <t>Potongan PPh 23 atas jasa makloon/sewa alat</t>
        </is>
      </c>
    </row>
    <row r="57" ht="20" customHeight="1">
      <c r="A57" s="10" t="inlineStr">
        <is>
          <t>2135</t>
        </is>
      </c>
      <c r="B57" s="11" t="inlineStr">
        <is>
          <t>Hutang PPh Pasal 25/29 Badan</t>
        </is>
      </c>
      <c r="C57" s="10" t="inlineStr">
        <is>
          <t>2130</t>
        </is>
      </c>
      <c r="D57" s="11" t="inlineStr">
        <is>
          <t>Kewajiban Perpajakan</t>
        </is>
      </c>
      <c r="E57" s="10" t="inlineStr">
        <is>
          <t>Liability</t>
        </is>
      </c>
      <c r="F57" s="10" t="n">
        <v>0</v>
      </c>
      <c r="G57" s="11" t="inlineStr">
        <is>
          <t>Tax</t>
        </is>
      </c>
      <c r="H57" s="11" t="inlineStr">
        <is>
          <t>Pajak Badan</t>
        </is>
      </c>
      <c r="I57" s="11" t="inlineStr">
        <is>
          <t>Angsuran/kurang bayar PPh Badan Tahunan</t>
        </is>
      </c>
    </row>
    <row r="58" ht="20" customHeight="1">
      <c r="A58" s="6" t="inlineStr">
        <is>
          <t>2200</t>
        </is>
      </c>
      <c r="B58" s="7" t="inlineStr">
        <is>
          <t>Kewajiban Jangka Panjang</t>
        </is>
      </c>
      <c r="C58" s="6" t="inlineStr">
        <is>
          <t>2000</t>
        </is>
      </c>
      <c r="D58" s="7" t="inlineStr">
        <is>
          <t>KEWAJIBAN (LIABILITAS)</t>
        </is>
      </c>
      <c r="E58" s="6" t="inlineStr">
        <is>
          <t>Liability</t>
        </is>
      </c>
      <c r="F58" s="6" t="n">
        <v>1</v>
      </c>
      <c r="G58" s="7" t="inlineStr"/>
      <c r="H58" s="7" t="inlineStr">
        <is>
          <t>Hutang Jangka Panjang</t>
        </is>
      </c>
      <c r="I58" s="7" t="inlineStr">
        <is>
          <t>Pinjaman jangka panjang (&gt;1 tahun)</t>
        </is>
      </c>
    </row>
    <row r="59" ht="20" customHeight="1">
      <c r="A59" s="10" t="inlineStr">
        <is>
          <t>2210</t>
        </is>
      </c>
      <c r="B59" s="11" t="inlineStr">
        <is>
          <t>Hutang Bank &amp; Leasing Mesin</t>
        </is>
      </c>
      <c r="C59" s="10" t="inlineStr">
        <is>
          <t>2200</t>
        </is>
      </c>
      <c r="D59" s="11" t="inlineStr">
        <is>
          <t>Kewajiban Jangka Panjang</t>
        </is>
      </c>
      <c r="E59" s="10" t="inlineStr">
        <is>
          <t>Liability</t>
        </is>
      </c>
      <c r="F59" s="10" t="n">
        <v>0</v>
      </c>
      <c r="G59" s="11" t="inlineStr"/>
      <c r="H59" s="11" t="inlineStr">
        <is>
          <t>Pinjaman Modal</t>
        </is>
      </c>
      <c r="I59" s="11" t="inlineStr">
        <is>
          <t>Kredit investasi mesin, pabrik, dan leasing alat</t>
        </is>
      </c>
    </row>
    <row r="60" ht="20" customHeight="1">
      <c r="A60" s="4" t="inlineStr">
        <is>
          <t>3000</t>
        </is>
      </c>
      <c r="B60" s="5" t="inlineStr">
        <is>
          <t>EKUITAS (MODAL)</t>
        </is>
      </c>
      <c r="C60" s="4" t="inlineStr"/>
      <c r="D60" s="5" t="inlineStr"/>
      <c r="E60" s="4" t="inlineStr">
        <is>
          <t>Equity</t>
        </is>
      </c>
      <c r="F60" s="4" t="n">
        <v>1</v>
      </c>
      <c r="G60" s="5" t="inlineStr"/>
      <c r="H60" s="5" t="inlineStr">
        <is>
          <t>Header Utama</t>
        </is>
      </c>
      <c r="I60" s="5" t="inlineStr">
        <is>
          <t>Induk utama modal &amp; ekuitas pemilik</t>
        </is>
      </c>
    </row>
    <row r="61" ht="20" customHeight="1">
      <c r="A61" s="6" t="inlineStr">
        <is>
          <t>3100</t>
        </is>
      </c>
      <c r="B61" s="7" t="inlineStr">
        <is>
          <t>Modal Perusahaan &amp; Cadangan</t>
        </is>
      </c>
      <c r="C61" s="6" t="inlineStr">
        <is>
          <t>3000</t>
        </is>
      </c>
      <c r="D61" s="7" t="inlineStr">
        <is>
          <t>EKUITAS (MODAL)</t>
        </is>
      </c>
      <c r="E61" s="6" t="inlineStr">
        <is>
          <t>Equity</t>
        </is>
      </c>
      <c r="F61" s="6" t="n">
        <v>1</v>
      </c>
      <c r="G61" s="7" t="inlineStr">
        <is>
          <t>Equity</t>
        </is>
      </c>
      <c r="H61" s="7" t="inlineStr">
        <is>
          <t>Modal</t>
        </is>
      </c>
      <c r="I61" s="7" t="inlineStr">
        <is>
          <t>Kelompok modal disetor &amp; saldo laba</t>
        </is>
      </c>
    </row>
    <row r="62" ht="20" customHeight="1">
      <c r="A62" s="8" t="inlineStr">
        <is>
          <t>3110</t>
        </is>
      </c>
      <c r="B62" s="9" t="inlineStr">
        <is>
          <t>Modal Disetor</t>
        </is>
      </c>
      <c r="C62" s="8" t="inlineStr">
        <is>
          <t>3100</t>
        </is>
      </c>
      <c r="D62" s="9" t="inlineStr">
        <is>
          <t>Modal Perusahaan &amp; Cadangan</t>
        </is>
      </c>
      <c r="E62" s="8" t="inlineStr">
        <is>
          <t>Equity</t>
        </is>
      </c>
      <c r="F62" s="8" t="n">
        <v>0</v>
      </c>
      <c r="G62" s="9" t="inlineStr">
        <is>
          <t>Equity</t>
        </is>
      </c>
      <c r="H62" s="9" t="inlineStr">
        <is>
          <t>Modal Disetor</t>
        </is>
      </c>
      <c r="I62" s="9" t="inlineStr">
        <is>
          <t>Setoran modal saham awal pemilik perusahaan</t>
        </is>
      </c>
    </row>
    <row r="63" ht="20" customHeight="1">
      <c r="A63" s="10" t="inlineStr">
        <is>
          <t>3120</t>
        </is>
      </c>
      <c r="B63" s="11" t="inlineStr">
        <is>
          <t>Laba Ditahan (Retained Earnings)</t>
        </is>
      </c>
      <c r="C63" s="10" t="inlineStr">
        <is>
          <t>3100</t>
        </is>
      </c>
      <c r="D63" s="11" t="inlineStr">
        <is>
          <t>Modal Perusahaan &amp; Cadangan</t>
        </is>
      </c>
      <c r="E63" s="10" t="inlineStr">
        <is>
          <t>Equity</t>
        </is>
      </c>
      <c r="F63" s="10" t="n">
        <v>0</v>
      </c>
      <c r="G63" s="11" t="inlineStr">
        <is>
          <t>Equity</t>
        </is>
      </c>
      <c r="H63" s="11" t="inlineStr">
        <is>
          <t>Laba Ditahan</t>
        </is>
      </c>
      <c r="I63" s="11" t="inlineStr">
        <is>
          <t>Akumulasi laba bersih tahun-tahun sebelumnya</t>
        </is>
      </c>
    </row>
    <row r="64" ht="20" customHeight="1">
      <c r="A64" s="8" t="inlineStr">
        <is>
          <t>3130</t>
        </is>
      </c>
      <c r="B64" s="9" t="inlineStr">
        <is>
          <t>Laba Tahun Berjalan</t>
        </is>
      </c>
      <c r="C64" s="8" t="inlineStr">
        <is>
          <t>3100</t>
        </is>
      </c>
      <c r="D64" s="9" t="inlineStr">
        <is>
          <t>Modal Perusahaan &amp; Cadangan</t>
        </is>
      </c>
      <c r="E64" s="8" t="inlineStr">
        <is>
          <t>Equity</t>
        </is>
      </c>
      <c r="F64" s="8" t="n">
        <v>0</v>
      </c>
      <c r="G64" s="9" t="inlineStr">
        <is>
          <t>Equity</t>
        </is>
      </c>
      <c r="H64" s="9" t="inlineStr">
        <is>
          <t>Laba Berjalan</t>
        </is>
      </c>
      <c r="I64" s="9" t="inlineStr">
        <is>
          <t>Penampung otomatis laba/rugi periode berjalan</t>
        </is>
      </c>
    </row>
    <row r="65" ht="20" customHeight="1">
      <c r="A65" s="10" t="inlineStr">
        <is>
          <t>3140</t>
        </is>
      </c>
      <c r="B65" s="11" t="inlineStr">
        <is>
          <t>Akun Penyeimbang Stok (Stock Adjustment Clearing)</t>
        </is>
      </c>
      <c r="C65" s="10" t="inlineStr">
        <is>
          <t>3100</t>
        </is>
      </c>
      <c r="D65" s="11" t="inlineStr">
        <is>
          <t>Modal Perusahaan &amp; Cadangan</t>
        </is>
      </c>
      <c r="E65" s="10" t="inlineStr">
        <is>
          <t>Equity</t>
        </is>
      </c>
      <c r="F65" s="10" t="n">
        <v>0</v>
      </c>
      <c r="G65" s="11" t="inlineStr">
        <is>
          <t>Stock</t>
        </is>
      </c>
      <c r="H65" s="11" t="inlineStr">
        <is>
          <t>Clearing Stok</t>
        </is>
      </c>
      <c r="I65" s="11" t="inlineStr">
        <is>
          <t>Penyeimbang selisih nilai fisik &amp; sistem persediaan</t>
        </is>
      </c>
    </row>
    <row r="66" ht="20" customHeight="1">
      <c r="A66" s="4" t="inlineStr">
        <is>
          <t>4000</t>
        </is>
      </c>
      <c r="B66" s="5" t="inlineStr">
        <is>
          <t>PENDAPATAN</t>
        </is>
      </c>
      <c r="C66" s="4" t="inlineStr"/>
      <c r="D66" s="5" t="inlineStr"/>
      <c r="E66" s="4" t="inlineStr">
        <is>
          <t>Income</t>
        </is>
      </c>
      <c r="F66" s="4" t="n">
        <v>1</v>
      </c>
      <c r="G66" s="5" t="inlineStr"/>
      <c r="H66" s="5" t="inlineStr">
        <is>
          <t>Header Utama</t>
        </is>
      </c>
      <c r="I66" s="5" t="inlineStr">
        <is>
          <t>Induk utama hasil penjualan &amp; pendapatan</t>
        </is>
      </c>
    </row>
    <row r="67" ht="20" customHeight="1">
      <c r="A67" s="6" t="inlineStr">
        <is>
          <t>4100</t>
        </is>
      </c>
      <c r="B67" s="7" t="inlineStr">
        <is>
          <t>Pendapatan Operasional Utama</t>
        </is>
      </c>
      <c r="C67" s="6" t="inlineStr">
        <is>
          <t>4000</t>
        </is>
      </c>
      <c r="D67" s="7" t="inlineStr">
        <is>
          <t>PENDAPATAN</t>
        </is>
      </c>
      <c r="E67" s="6" t="inlineStr">
        <is>
          <t>Income</t>
        </is>
      </c>
      <c r="F67" s="6" t="n">
        <v>1</v>
      </c>
      <c r="G67" s="7" t="inlineStr">
        <is>
          <t>Income Account</t>
        </is>
      </c>
      <c r="H67" s="7" t="inlineStr">
        <is>
          <t>Penjualan Utama</t>
        </is>
      </c>
      <c r="I67" s="7" t="inlineStr">
        <is>
          <t>Hasil penjualan produk manufaktur</t>
        </is>
      </c>
    </row>
    <row r="68" ht="20" customHeight="1">
      <c r="A68" s="8" t="inlineStr">
        <is>
          <t>4110</t>
        </is>
      </c>
      <c r="B68" s="9" t="inlineStr">
        <is>
          <t>Penjualan Barang Jadi (Finished Goods Sales)</t>
        </is>
      </c>
      <c r="C68" s="8" t="inlineStr">
        <is>
          <t>4100</t>
        </is>
      </c>
      <c r="D68" s="9" t="inlineStr">
        <is>
          <t>Pendapatan Operasional Utama</t>
        </is>
      </c>
      <c r="E68" s="8" t="inlineStr">
        <is>
          <t>Income</t>
        </is>
      </c>
      <c r="F68" s="8" t="n">
        <v>0</v>
      </c>
      <c r="G68" s="9" t="inlineStr">
        <is>
          <t>Income Account</t>
        </is>
      </c>
      <c r="H68" s="9" t="inlineStr">
        <is>
          <t>Penjualan Produk</t>
        </is>
      </c>
      <c r="I68" s="9" t="inlineStr">
        <is>
          <t>Otomatis terhubung ke Sales Invoice Penjualan Barang</t>
        </is>
      </c>
    </row>
    <row r="69" ht="20" customHeight="1">
      <c r="A69" s="10" t="inlineStr">
        <is>
          <t>4120</t>
        </is>
      </c>
      <c r="B69" s="11" t="inlineStr">
        <is>
          <t>Pendapatan Jasa Makloon (Subcontracting)</t>
        </is>
      </c>
      <c r="C69" s="10" t="inlineStr">
        <is>
          <t>4100</t>
        </is>
      </c>
      <c r="D69" s="11" t="inlineStr">
        <is>
          <t>Pendapatan Operasional Utama</t>
        </is>
      </c>
      <c r="E69" s="10" t="inlineStr">
        <is>
          <t>Income</t>
        </is>
      </c>
      <c r="F69" s="10" t="n">
        <v>0</v>
      </c>
      <c r="G69" s="11" t="inlineStr">
        <is>
          <t>Income Account</t>
        </is>
      </c>
      <c r="H69" s="11" t="inlineStr">
        <is>
          <t>Penjualan Jasa Makloon</t>
        </is>
      </c>
      <c r="I69" s="11" t="inlineStr">
        <is>
          <t>Pendapatan dari pemrosesan barang milik pihak ke-3</t>
        </is>
      </c>
    </row>
    <row r="70" ht="20" customHeight="1">
      <c r="A70" s="8" t="inlineStr">
        <is>
          <t>4130</t>
        </is>
      </c>
      <c r="B70" s="9" t="inlineStr">
        <is>
          <t>Retur Penjualan Produk</t>
        </is>
      </c>
      <c r="C70" s="8" t="inlineStr">
        <is>
          <t>4100</t>
        </is>
      </c>
      <c r="D70" s="9" t="inlineStr">
        <is>
          <t>Pendapatan Operasional Utama</t>
        </is>
      </c>
      <c r="E70" s="8" t="inlineStr">
        <is>
          <t>Income</t>
        </is>
      </c>
      <c r="F70" s="8" t="n">
        <v>0</v>
      </c>
      <c r="G70" s="9" t="inlineStr">
        <is>
          <t>Income Account</t>
        </is>
      </c>
      <c r="H70" s="9" t="inlineStr">
        <is>
          <t>Retur Penjualan</t>
        </is>
      </c>
      <c r="I70" s="9" t="inlineStr">
        <is>
          <t>Pengurang pendapatan akibat pengembalian barang cacat</t>
        </is>
      </c>
    </row>
    <row r="71" ht="20" customHeight="1">
      <c r="A71" s="10" t="inlineStr">
        <is>
          <t>4140</t>
        </is>
      </c>
      <c r="B71" s="11" t="inlineStr">
        <is>
          <t>Diskon &amp; Potongan Penjualan</t>
        </is>
      </c>
      <c r="C71" s="10" t="inlineStr">
        <is>
          <t>4100</t>
        </is>
      </c>
      <c r="D71" s="11" t="inlineStr">
        <is>
          <t>Pendapatan Operasional Utama</t>
        </is>
      </c>
      <c r="E71" s="10" t="inlineStr">
        <is>
          <t>Income</t>
        </is>
      </c>
      <c r="F71" s="10" t="n">
        <v>0</v>
      </c>
      <c r="G71" s="11" t="inlineStr">
        <is>
          <t>Income Account</t>
        </is>
      </c>
      <c r="H71" s="11" t="inlineStr">
        <is>
          <t>Diskon Penjualan</t>
        </is>
      </c>
      <c r="I71" s="11" t="inlineStr">
        <is>
          <t>Potongan harga penjualan ke distributor/pelanggan</t>
        </is>
      </c>
    </row>
    <row r="72" ht="20" customHeight="1">
      <c r="A72" s="6" t="inlineStr">
        <is>
          <t>4200</t>
        </is>
      </c>
      <c r="B72" s="7" t="inlineStr">
        <is>
          <t>Pendapatan Non-Operasional &amp; Scrap</t>
        </is>
      </c>
      <c r="C72" s="6" t="inlineStr">
        <is>
          <t>4000</t>
        </is>
      </c>
      <c r="D72" s="7" t="inlineStr">
        <is>
          <t>PENDAPATAN</t>
        </is>
      </c>
      <c r="E72" s="6" t="inlineStr">
        <is>
          <t>Income</t>
        </is>
      </c>
      <c r="F72" s="6" t="n">
        <v>1</v>
      </c>
      <c r="G72" s="7" t="inlineStr">
        <is>
          <t>Income Account</t>
        </is>
      </c>
      <c r="H72" s="7" t="inlineStr">
        <is>
          <t>Pendapatan Lain-lain</t>
        </is>
      </c>
      <c r="I72" s="7" t="inlineStr">
        <is>
          <t>Hasil penjualan limbah/scrap &amp; non-operasional</t>
        </is>
      </c>
    </row>
    <row r="73" ht="20" customHeight="1">
      <c r="A73" s="10" t="inlineStr">
        <is>
          <t>4210</t>
        </is>
      </c>
      <c r="B73" s="11" t="inlineStr">
        <is>
          <t>Penjualan Limbah &amp; Scrap Produksi</t>
        </is>
      </c>
      <c r="C73" s="10" t="inlineStr">
        <is>
          <t>4200</t>
        </is>
      </c>
      <c r="D73" s="11" t="inlineStr">
        <is>
          <t>Pendapatan Non-Operasional &amp; Scrap</t>
        </is>
      </c>
      <c r="E73" s="10" t="inlineStr">
        <is>
          <t>Income</t>
        </is>
      </c>
      <c r="F73" s="10" t="n">
        <v>0</v>
      </c>
      <c r="G73" s="11" t="inlineStr">
        <is>
          <t>Income Account</t>
        </is>
      </c>
      <c r="H73" s="11" t="inlineStr">
        <is>
          <t>Penjualan Scrap</t>
        </is>
      </c>
      <c r="I73" s="11" t="inlineStr">
        <is>
          <t>Hasil penjualan sisa gram besi, plastik, potongan bahan</t>
        </is>
      </c>
    </row>
    <row r="74" ht="20" customHeight="1">
      <c r="A74" s="8" t="inlineStr">
        <is>
          <t>4220</t>
        </is>
      </c>
      <c r="B74" s="9" t="inlineStr">
        <is>
          <t>Pendapatan Bunga Bank &amp; Selisih Kurs</t>
        </is>
      </c>
      <c r="C74" s="8" t="inlineStr">
        <is>
          <t>4200</t>
        </is>
      </c>
      <c r="D74" s="9" t="inlineStr">
        <is>
          <t>Pendapatan Non-Operasional &amp; Scrap</t>
        </is>
      </c>
      <c r="E74" s="8" t="inlineStr">
        <is>
          <t>Income</t>
        </is>
      </c>
      <c r="F74" s="8" t="n">
        <v>0</v>
      </c>
      <c r="G74" s="9" t="inlineStr">
        <is>
          <t>Income Account</t>
        </is>
      </c>
      <c r="H74" s="9" t="inlineStr">
        <is>
          <t>Pendapatan Bunga/Kurs</t>
        </is>
      </c>
      <c r="I74" s="9" t="inlineStr">
        <is>
          <t>Bunga tabungan/deposito &amp; keuntungan selisih kurs valas</t>
        </is>
      </c>
    </row>
    <row r="75" ht="20" customHeight="1">
      <c r="A75" s="4" t="inlineStr">
        <is>
          <t>5000</t>
        </is>
      </c>
      <c r="B75" s="5" t="inlineStr">
        <is>
          <t>HARGA POKOK PENJUALAN &amp; BIAYA PRODUKSI</t>
        </is>
      </c>
      <c r="C75" s="4" t="inlineStr"/>
      <c r="D75" s="5" t="inlineStr"/>
      <c r="E75" s="4" t="inlineStr">
        <is>
          <t>Expense</t>
        </is>
      </c>
      <c r="F75" s="4" t="n">
        <v>1</v>
      </c>
      <c r="G75" s="5" t="inlineStr">
        <is>
          <t>Cost of Goods Sold</t>
        </is>
      </c>
      <c r="H75" s="5" t="inlineStr">
        <is>
          <t>Header Utama</t>
        </is>
      </c>
      <c r="I75" s="5" t="inlineStr">
        <is>
          <t>Induk utama biaya produksi &amp; HPP manufaktur</t>
        </is>
      </c>
    </row>
    <row r="76" ht="20" customHeight="1">
      <c r="A76" s="6" t="inlineStr">
        <is>
          <t>5100</t>
        </is>
      </c>
      <c r="B76" s="7" t="inlineStr">
        <is>
          <t>Harga Pokok Penjualan (COGS)</t>
        </is>
      </c>
      <c r="C76" s="6" t="inlineStr">
        <is>
          <t>5000</t>
        </is>
      </c>
      <c r="D76" s="7" t="inlineStr">
        <is>
          <t>HARGA POKOK PENJUALAN &amp; BIAYA PRODUKSI</t>
        </is>
      </c>
      <c r="E76" s="6" t="inlineStr">
        <is>
          <t>Expense</t>
        </is>
      </c>
      <c r="F76" s="6" t="n">
        <v>1</v>
      </c>
      <c r="G76" s="7" t="inlineStr">
        <is>
          <t>Cost of Goods Sold</t>
        </is>
      </c>
      <c r="H76" s="7" t="inlineStr">
        <is>
          <t>HPP Terjual</t>
        </is>
      </c>
      <c r="I76" s="7" t="inlineStr">
        <is>
          <t>Nilai pokok barang yang terkirim ke pelanggan</t>
        </is>
      </c>
    </row>
    <row r="77" ht="20" customHeight="1">
      <c r="A77" s="10" t="inlineStr">
        <is>
          <t>5110</t>
        </is>
      </c>
      <c r="B77" s="11" t="inlineStr">
        <is>
          <t>HPP Barang Jadi Terjual (COGS Finished Goods)</t>
        </is>
      </c>
      <c r="C77" s="10" t="inlineStr">
        <is>
          <t>5100</t>
        </is>
      </c>
      <c r="D77" s="11" t="inlineStr">
        <is>
          <t>Harga Pokok Penjualan (COGS)</t>
        </is>
      </c>
      <c r="E77" s="10" t="inlineStr">
        <is>
          <t>Expense</t>
        </is>
      </c>
      <c r="F77" s="10" t="n">
        <v>0</v>
      </c>
      <c r="G77" s="11" t="inlineStr">
        <is>
          <t>Cost of Goods Sold</t>
        </is>
      </c>
      <c r="H77" s="11" t="inlineStr">
        <is>
          <t>HPP Barang Jadi</t>
        </is>
      </c>
      <c r="I77" s="11" t="inlineStr">
        <is>
          <t>Terpotong otomatis saat Delivery Note / Sales Invoice</t>
        </is>
      </c>
    </row>
    <row r="78" ht="20" customHeight="1">
      <c r="A78" s="8" t="inlineStr">
        <is>
          <t>5120</t>
        </is>
      </c>
      <c r="B78" s="9" t="inlineStr">
        <is>
          <t>HPP Penjualan Scrap / Limbah</t>
        </is>
      </c>
      <c r="C78" s="8" t="inlineStr">
        <is>
          <t>5100</t>
        </is>
      </c>
      <c r="D78" s="9" t="inlineStr">
        <is>
          <t>Harga Pokok Penjualan (COGS)</t>
        </is>
      </c>
      <c r="E78" s="8" t="inlineStr">
        <is>
          <t>Expense</t>
        </is>
      </c>
      <c r="F78" s="8" t="n">
        <v>0</v>
      </c>
      <c r="G78" s="9" t="inlineStr">
        <is>
          <t>Cost of Goods Sold</t>
        </is>
      </c>
      <c r="H78" s="9" t="inlineStr">
        <is>
          <t>HPP Scrap</t>
        </is>
      </c>
      <c r="I78" s="9" t="inlineStr">
        <is>
          <t>Nilai buku persediaan limbah yang terjual</t>
        </is>
      </c>
    </row>
    <row r="79" ht="20" customHeight="1">
      <c r="A79" s="6" t="inlineStr">
        <is>
          <t>5200</t>
        </is>
      </c>
      <c r="B79" s="7" t="inlineStr">
        <is>
          <t>Biaya Bahan Langsung (Direct Materials)</t>
        </is>
      </c>
      <c r="C79" s="6" t="inlineStr">
        <is>
          <t>5000</t>
        </is>
      </c>
      <c r="D79" s="7" t="inlineStr">
        <is>
          <t>HARGA POKOK PENJUALAN &amp; BIAYA PRODUKSI</t>
        </is>
      </c>
      <c r="E79" s="6" t="inlineStr">
        <is>
          <t>Expense</t>
        </is>
      </c>
      <c r="F79" s="6" t="n">
        <v>1</v>
      </c>
      <c r="G79" s="7" t="inlineStr">
        <is>
          <t>Expense Account</t>
        </is>
      </c>
      <c r="H79" s="7" t="inlineStr">
        <is>
          <t>Biaya Bahan Langsung</t>
        </is>
      </c>
      <c r="I79" s="7" t="inlineStr">
        <is>
          <t>Biaya bahan baku utama yang terserap produksi</t>
        </is>
      </c>
    </row>
    <row r="80" ht="20" customHeight="1">
      <c r="A80" s="8" t="inlineStr">
        <is>
          <t>5210</t>
        </is>
      </c>
      <c r="B80" s="9" t="inlineStr">
        <is>
          <t>Biaya Pemakaian Bahan Baku Utama</t>
        </is>
      </c>
      <c r="C80" s="8" t="inlineStr">
        <is>
          <t>5200</t>
        </is>
      </c>
      <c r="D80" s="9" t="inlineStr">
        <is>
          <t>Biaya Bahan Langsung (Direct Materials)</t>
        </is>
      </c>
      <c r="E80" s="8" t="inlineStr">
        <is>
          <t>Expense</t>
        </is>
      </c>
      <c r="F80" s="8" t="n">
        <v>0</v>
      </c>
      <c r="G80" s="9" t="inlineStr">
        <is>
          <t>Expense Account</t>
        </is>
      </c>
      <c r="H80" s="9" t="inlineStr">
        <is>
          <t>Pemakaian Bahan Baku</t>
        </is>
      </c>
      <c r="I80" s="9" t="inlineStr">
        <is>
          <t>Terpotong dari stok saat Work Order / Stock Entry Manufacture</t>
        </is>
      </c>
    </row>
    <row r="81" ht="20" customHeight="1">
      <c r="A81" s="10" t="inlineStr">
        <is>
          <t>5220</t>
        </is>
      </c>
      <c r="B81" s="11" t="inlineStr">
        <is>
          <t>Biaya Pemakaian Bahan Penolong / Pembantu</t>
        </is>
      </c>
      <c r="C81" s="10" t="inlineStr">
        <is>
          <t>5200</t>
        </is>
      </c>
      <c r="D81" s="11" t="inlineStr">
        <is>
          <t>Biaya Bahan Langsung (Direct Materials)</t>
        </is>
      </c>
      <c r="E81" s="10" t="inlineStr">
        <is>
          <t>Expense</t>
        </is>
      </c>
      <c r="F81" s="10" t="n">
        <v>0</v>
      </c>
      <c r="G81" s="11" t="inlineStr">
        <is>
          <t>Expense Account</t>
        </is>
      </c>
      <c r="H81" s="11" t="inlineStr">
        <is>
          <t>Pemakaian Bahan Penolong</t>
        </is>
      </c>
      <c r="I81" s="11" t="inlineStr">
        <is>
          <t>Terpotong saat penggunaan bahan kimia/perekat/baut di pabrik</t>
        </is>
      </c>
    </row>
    <row r="82" ht="20" customHeight="1">
      <c r="A82" s="8" t="inlineStr">
        <is>
          <t>5230</t>
        </is>
      </c>
      <c r="B82" s="9" t="inlineStr">
        <is>
          <t>Biaya Pengangkutan &amp; Impor Bahan Baku (Freight In)</t>
        </is>
      </c>
      <c r="C82" s="8" t="inlineStr">
        <is>
          <t>5200</t>
        </is>
      </c>
      <c r="D82" s="9" t="inlineStr">
        <is>
          <t>Biaya Bahan Langsung (Direct Materials)</t>
        </is>
      </c>
      <c r="E82" s="8" t="inlineStr">
        <is>
          <t>Expense</t>
        </is>
      </c>
      <c r="F82" s="8" t="n">
        <v>0</v>
      </c>
      <c r="G82" s="9" t="inlineStr">
        <is>
          <t>Expense Account</t>
        </is>
      </c>
      <c r="H82" s="9" t="inlineStr">
        <is>
          <t>Biaya Angkut Impor</t>
        </is>
      </c>
      <c r="I82" s="9" t="inlineStr">
        <is>
          <t>Biaya kontainer, impor, &amp; ongkir bahan baku (Landed Cost)</t>
        </is>
      </c>
    </row>
    <row r="83" ht="20" customHeight="1">
      <c r="A83" s="6" t="inlineStr">
        <is>
          <t>5300</t>
        </is>
      </c>
      <c r="B83" s="7" t="inlineStr">
        <is>
          <t>Biaya Tenaga Kerja Langsung (Direct Labor)</t>
        </is>
      </c>
      <c r="C83" s="6" t="inlineStr">
        <is>
          <t>5000</t>
        </is>
      </c>
      <c r="D83" s="7" t="inlineStr">
        <is>
          <t>HARGA POKOK PENJUALAN &amp; BIAYA PRODUKSI</t>
        </is>
      </c>
      <c r="E83" s="6" t="inlineStr">
        <is>
          <t>Expense</t>
        </is>
      </c>
      <c r="F83" s="6" t="n">
        <v>1</v>
      </c>
      <c r="G83" s="7" t="inlineStr">
        <is>
          <t>Expense Account</t>
        </is>
      </c>
      <c r="H83" s="7" t="inlineStr">
        <is>
          <t>Tenaga Kerja Langsung</t>
        </is>
      </c>
      <c r="I83" s="7" t="inlineStr">
        <is>
          <t>Upah buruh yang bersentuhan langsung dengan mesin/produk</t>
        </is>
      </c>
    </row>
    <row r="84" ht="20" customHeight="1">
      <c r="A84" s="8" t="inlineStr">
        <is>
          <t>5310</t>
        </is>
      </c>
      <c r="B84" s="9" t="inlineStr">
        <is>
          <t>Upah Buruh Pokok Produksi</t>
        </is>
      </c>
      <c r="C84" s="8" t="inlineStr">
        <is>
          <t>5300</t>
        </is>
      </c>
      <c r="D84" s="9" t="inlineStr">
        <is>
          <t>Biaya Tenaga Kerja Langsung (Direct Labor)</t>
        </is>
      </c>
      <c r="E84" s="8" t="inlineStr">
        <is>
          <t>Expense</t>
        </is>
      </c>
      <c r="F84" s="8" t="n">
        <v>0</v>
      </c>
      <c r="G84" s="9" t="inlineStr">
        <is>
          <t>Expense Account</t>
        </is>
      </c>
      <c r="H84" s="9" t="inlineStr">
        <is>
          <t>Upah Buruh Pabrik</t>
        </is>
      </c>
      <c r="I84" s="9" t="inlineStr">
        <is>
          <t>Gaji/upah borongan &amp; harian buruh lini produksi</t>
        </is>
      </c>
    </row>
    <row r="85" ht="20" customHeight="1">
      <c r="A85" s="10" t="inlineStr">
        <is>
          <t>5320</t>
        </is>
      </c>
      <c r="B85" s="11" t="inlineStr">
        <is>
          <t>Upah Lembur Buruh Pabrik</t>
        </is>
      </c>
      <c r="C85" s="10" t="inlineStr">
        <is>
          <t>5300</t>
        </is>
      </c>
      <c r="D85" s="11" t="inlineStr">
        <is>
          <t>Biaya Tenaga Kerja Langsung (Direct Labor)</t>
        </is>
      </c>
      <c r="E85" s="10" t="inlineStr">
        <is>
          <t>Expense</t>
        </is>
      </c>
      <c r="F85" s="10" t="n">
        <v>0</v>
      </c>
      <c r="G85" s="11" t="inlineStr">
        <is>
          <t>Expense Account</t>
        </is>
      </c>
      <c r="H85" s="11" t="inlineStr">
        <is>
          <t>Lembur Buruh</t>
        </is>
      </c>
      <c r="I85" s="11" t="inlineStr">
        <is>
          <t>Pembayaran jam lembur buruh produksi</t>
        </is>
      </c>
    </row>
    <row r="86" ht="20" customHeight="1">
      <c r="A86" s="8" t="inlineStr">
        <is>
          <t>5330</t>
        </is>
      </c>
      <c r="B86" s="9" t="inlineStr">
        <is>
          <t>Tunjangan &amp; BPJS Buruh Produksi</t>
        </is>
      </c>
      <c r="C86" s="8" t="inlineStr">
        <is>
          <t>5300</t>
        </is>
      </c>
      <c r="D86" s="9" t="inlineStr">
        <is>
          <t>Biaya Tenaga Kerja Langsung (Direct Labor)</t>
        </is>
      </c>
      <c r="E86" s="8" t="inlineStr">
        <is>
          <t>Expense</t>
        </is>
      </c>
      <c r="F86" s="8" t="n">
        <v>0</v>
      </c>
      <c r="G86" s="9" t="inlineStr">
        <is>
          <t>Expense Account</t>
        </is>
      </c>
      <c r="H86" s="9" t="inlineStr">
        <is>
          <t>Tunjangan Buruh</t>
        </is>
      </c>
      <c r="I86" s="9" t="inlineStr">
        <is>
          <t>BPJS Ketenagakerjaan &amp; THR buruh pabrik</t>
        </is>
      </c>
    </row>
    <row r="87" ht="20" customHeight="1">
      <c r="A87" s="6" t="inlineStr">
        <is>
          <t>5400</t>
        </is>
      </c>
      <c r="B87" s="7" t="inlineStr">
        <is>
          <t>Biaya Overhead Pabrik (Manufacturing Overhead - BOP)</t>
        </is>
      </c>
      <c r="C87" s="6" t="inlineStr">
        <is>
          <t>5000</t>
        </is>
      </c>
      <c r="D87" s="7" t="inlineStr">
        <is>
          <t>HARGA POKOK PENJUALAN &amp; BIAYA PRODUKSI</t>
        </is>
      </c>
      <c r="E87" s="6" t="inlineStr">
        <is>
          <t>Expense</t>
        </is>
      </c>
      <c r="F87" s="6" t="n">
        <v>1</v>
      </c>
      <c r="G87" s="7" t="inlineStr">
        <is>
          <t>Expense Account</t>
        </is>
      </c>
      <c r="H87" s="7" t="inlineStr">
        <is>
          <t>Overhead Pabrik (BOP)</t>
        </is>
      </c>
      <c r="I87" s="7" t="inlineStr">
        <is>
          <t>Biaya tidak langsung untuk pengoperasian pabrik</t>
        </is>
      </c>
    </row>
    <row r="88" ht="20" customHeight="1">
      <c r="A88" s="8" t="inlineStr">
        <is>
          <t>5410</t>
        </is>
      </c>
      <c r="B88" s="9" t="inlineStr">
        <is>
          <t>Biaya Listrik PLN Industri, Air &amp; Solar Pabrik</t>
        </is>
      </c>
      <c r="C88" s="8" t="inlineStr">
        <is>
          <t>5400</t>
        </is>
      </c>
      <c r="D88" s="9" t="inlineStr">
        <is>
          <t>Biaya Overhead Pabrik (Manufacturing Overhead - BOP)</t>
        </is>
      </c>
      <c r="E88" s="8" t="inlineStr">
        <is>
          <t>Expense</t>
        </is>
      </c>
      <c r="F88" s="8" t="n">
        <v>0</v>
      </c>
      <c r="G88" s="9" t="inlineStr">
        <is>
          <t>Expense Account</t>
        </is>
      </c>
      <c r="H88" s="9" t="inlineStr">
        <is>
          <t>Utilitas Pabrik</t>
        </is>
      </c>
      <c r="I88" s="9" t="inlineStr">
        <is>
          <t>Penggunaan listrik tegangan tinggi, air, &amp; bahan bakar genset/boiler</t>
        </is>
      </c>
    </row>
    <row r="89" ht="20" customHeight="1">
      <c r="A89" s="10" t="inlineStr">
        <is>
          <t>5420</t>
        </is>
      </c>
      <c r="B89" s="11" t="inlineStr">
        <is>
          <t>Gaji Supervisor, QC &amp; Manajemen Pabrik</t>
        </is>
      </c>
      <c r="C89" s="10" t="inlineStr">
        <is>
          <t>5400</t>
        </is>
      </c>
      <c r="D89" s="11" t="inlineStr">
        <is>
          <t>Biaya Overhead Pabrik (Manufacturing Overhead - BOP)</t>
        </is>
      </c>
      <c r="E89" s="10" t="inlineStr">
        <is>
          <t>Expense</t>
        </is>
      </c>
      <c r="F89" s="10" t="n">
        <v>0</v>
      </c>
      <c r="G89" s="11" t="inlineStr">
        <is>
          <t>Expense Account</t>
        </is>
      </c>
      <c r="H89" s="11" t="inlineStr">
        <is>
          <t>Tenaga Kerja Tak Langsung</t>
        </is>
      </c>
      <c r="I89" s="11" t="inlineStr">
        <is>
          <t>Gaji kepala pabrik, supervisor, QC, &amp; staf gudang</t>
        </is>
      </c>
    </row>
    <row r="90" ht="20" customHeight="1">
      <c r="A90" s="8" t="inlineStr">
        <is>
          <t>5430</t>
        </is>
      </c>
      <c r="B90" s="9" t="inlineStr">
        <is>
          <t>Biaya Jasa Makloon / Subkontrak Produksi</t>
        </is>
      </c>
      <c r="C90" s="8" t="inlineStr">
        <is>
          <t>5400</t>
        </is>
      </c>
      <c r="D90" s="9" t="inlineStr">
        <is>
          <t>Biaya Overhead Pabrik (Manufacturing Overhead - BOP)</t>
        </is>
      </c>
      <c r="E90" s="8" t="inlineStr">
        <is>
          <t>Expense</t>
        </is>
      </c>
      <c r="F90" s="8" t="n">
        <v>0</v>
      </c>
      <c r="G90" s="9" t="inlineStr">
        <is>
          <t>Expense Account</t>
        </is>
      </c>
      <c r="H90" s="9" t="inlineStr">
        <is>
          <t>Jasa Makloon Outsource</t>
        </is>
      </c>
      <c r="I90" s="9" t="inlineStr">
        <is>
          <t>Biaya pengerjaan proses manufaktur ke vendor luar</t>
        </is>
      </c>
    </row>
    <row r="91" ht="20" customHeight="1">
      <c r="A91" s="10" t="inlineStr">
        <is>
          <t>5440</t>
        </is>
      </c>
      <c r="B91" s="11" t="inlineStr">
        <is>
          <t>Pemeliharaan &amp; Perbaikan Mesin / Pabrik</t>
        </is>
      </c>
      <c r="C91" s="10" t="inlineStr">
        <is>
          <t>5400</t>
        </is>
      </c>
      <c r="D91" s="11" t="inlineStr">
        <is>
          <t>Biaya Overhead Pabrik (Manufacturing Overhead - BOP)</t>
        </is>
      </c>
      <c r="E91" s="10" t="inlineStr">
        <is>
          <t>Expense</t>
        </is>
      </c>
      <c r="F91" s="10" t="n">
        <v>0</v>
      </c>
      <c r="G91" s="11" t="inlineStr">
        <is>
          <t>Expense Account</t>
        </is>
      </c>
      <c r="H91" s="11" t="inlineStr">
        <is>
          <t>Maintenance Mesin</t>
        </is>
      </c>
      <c r="I91" s="11" t="inlineStr">
        <is>
          <t>Perbaikan mesin, servis berkala, &amp; pembelian spareparts</t>
        </is>
      </c>
    </row>
    <row r="92" ht="20" customHeight="1">
      <c r="A92" s="8" t="inlineStr">
        <is>
          <t>5450</t>
        </is>
      </c>
      <c r="B92" s="9" t="inlineStr">
        <is>
          <t>Penyusutan Mesin &amp; Bangunan Pabrik</t>
        </is>
      </c>
      <c r="C92" s="8" t="inlineStr">
        <is>
          <t>5400</t>
        </is>
      </c>
      <c r="D92" s="9" t="inlineStr">
        <is>
          <t>Biaya Overhead Pabrik (Manufacturing Overhead - BOP)</t>
        </is>
      </c>
      <c r="E92" s="8" t="inlineStr">
        <is>
          <t>Expense</t>
        </is>
      </c>
      <c r="F92" s="8" t="n">
        <v>0</v>
      </c>
      <c r="G92" s="9" t="inlineStr">
        <is>
          <t>Depreciation</t>
        </is>
      </c>
      <c r="H92" s="9" t="inlineStr">
        <is>
          <t>Depresiasi Pabrik</t>
        </is>
      </c>
      <c r="I92" s="9" t="inlineStr">
        <is>
          <t>Beban depresiasi bulanan atas mesin &amp; gedung pabrik</t>
        </is>
      </c>
    </row>
    <row r="93" ht="20" customHeight="1">
      <c r="A93" s="10" t="inlineStr">
        <is>
          <t>5460</t>
        </is>
      </c>
      <c r="B93" s="11" t="inlineStr">
        <is>
          <t>Biaya Perlengkapan K3, APD &amp; Sanitasi Pabrik</t>
        </is>
      </c>
      <c r="C93" s="10" t="inlineStr">
        <is>
          <t>5400</t>
        </is>
      </c>
      <c r="D93" s="11" t="inlineStr">
        <is>
          <t>Biaya Overhead Pabrik (Manufacturing Overhead - BOP)</t>
        </is>
      </c>
      <c r="E93" s="10" t="inlineStr">
        <is>
          <t>Expense</t>
        </is>
      </c>
      <c r="F93" s="10" t="n">
        <v>0</v>
      </c>
      <c r="G93" s="11" t="inlineStr">
        <is>
          <t>Expense Account</t>
        </is>
      </c>
      <c r="H93" s="11" t="inlineStr">
        <is>
          <t>K3 &amp; Sanitasi</t>
        </is>
      </c>
      <c r="I93" s="11" t="inlineStr">
        <is>
          <t>Sepatu safety, helm, masker, &amp; pembersihan area produksi</t>
        </is>
      </c>
    </row>
    <row r="94" ht="20" customHeight="1">
      <c r="A94" s="8" t="inlineStr">
        <is>
          <t>5470</t>
        </is>
      </c>
      <c r="B94" s="9" t="inlineStr">
        <is>
          <t>Biaya Penanganan Limbah B3 &amp; Asuransi Pabrik</t>
        </is>
      </c>
      <c r="C94" s="8" t="inlineStr">
        <is>
          <t>5400</t>
        </is>
      </c>
      <c r="D94" s="9" t="inlineStr">
        <is>
          <t>Biaya Overhead Pabrik (Manufacturing Overhead - BOP)</t>
        </is>
      </c>
      <c r="E94" s="8" t="inlineStr">
        <is>
          <t>Expense</t>
        </is>
      </c>
      <c r="F94" s="8" t="n">
        <v>0</v>
      </c>
      <c r="G94" s="9" t="inlineStr">
        <is>
          <t>Expense Account</t>
        </is>
      </c>
      <c r="H94" s="9" t="inlineStr">
        <is>
          <t>Limbah &amp; Asuransi</t>
        </is>
      </c>
      <c r="I94" s="9" t="inlineStr">
        <is>
          <t>Jasa pengolahan limbah B3 &amp; premi asuransi pabrik</t>
        </is>
      </c>
    </row>
    <row r="95" ht="20" customHeight="1">
      <c r="A95" s="10" t="inlineStr">
        <is>
          <t>5480</t>
        </is>
      </c>
      <c r="B95" s="11" t="inlineStr">
        <is>
          <t>Selisih Varians Pemakaian Bahan (Material Variance)</t>
        </is>
      </c>
      <c r="C95" s="10" t="inlineStr">
        <is>
          <t>5400</t>
        </is>
      </c>
      <c r="D95" s="11" t="inlineStr">
        <is>
          <t>Biaya Overhead Pabrik (Manufacturing Overhead - BOP)</t>
        </is>
      </c>
      <c r="E95" s="10" t="inlineStr">
        <is>
          <t>Expense</t>
        </is>
      </c>
      <c r="F95" s="10" t="n">
        <v>0</v>
      </c>
      <c r="G95" s="11" t="inlineStr">
        <is>
          <t>Expense Account</t>
        </is>
      </c>
      <c r="H95" s="11" t="inlineStr">
        <is>
          <t>Varians Biaya</t>
        </is>
      </c>
      <c r="I95" s="11" t="inlineStr">
        <is>
          <t>Selisih antara standar BOM dan pemakaian bahan aktual</t>
        </is>
      </c>
    </row>
    <row r="96" ht="20" customHeight="1">
      <c r="A96" s="8" t="inlineStr">
        <is>
          <t>5490</t>
        </is>
      </c>
      <c r="B96" s="9" t="inlineStr">
        <is>
          <t>Alokasi Overhead Pabrik (Overhead Absorbed)</t>
        </is>
      </c>
      <c r="C96" s="8" t="inlineStr">
        <is>
          <t>5400</t>
        </is>
      </c>
      <c r="D96" s="9" t="inlineStr">
        <is>
          <t>Biaya Overhead Pabrik (Manufacturing Overhead - BOP)</t>
        </is>
      </c>
      <c r="E96" s="8" t="inlineStr">
        <is>
          <t>Expense</t>
        </is>
      </c>
      <c r="F96" s="8" t="n">
        <v>0</v>
      </c>
      <c r="G96" s="9" t="inlineStr">
        <is>
          <t>Expense Account</t>
        </is>
      </c>
      <c r="H96" s="9" t="inlineStr">
        <is>
          <t>Alokasi BOP</t>
        </is>
      </c>
      <c r="I96" s="9" t="inlineStr">
        <is>
          <t>Akun penyeimbang alokasi BOP ke nilai HPP produk</t>
        </is>
      </c>
    </row>
    <row r="97" ht="20" customHeight="1">
      <c r="A97" s="4" t="inlineStr">
        <is>
          <t>6000</t>
        </is>
      </c>
      <c r="B97" s="5" t="inlineStr">
        <is>
          <t>BEBAN OPERASIONAL (OPERATING EXPENSES)</t>
        </is>
      </c>
      <c r="C97" s="4" t="inlineStr"/>
      <c r="D97" s="5" t="inlineStr"/>
      <c r="E97" s="4" t="inlineStr">
        <is>
          <t>Expense</t>
        </is>
      </c>
      <c r="F97" s="4" t="n">
        <v>1</v>
      </c>
      <c r="G97" s="5" t="inlineStr">
        <is>
          <t>Expense Account</t>
        </is>
      </c>
      <c r="H97" s="5" t="inlineStr">
        <is>
          <t>Header Utama</t>
        </is>
      </c>
      <c r="I97" s="5" t="inlineStr">
        <is>
          <t>Induk beban non-produksi (pemasaran &amp; umum)</t>
        </is>
      </c>
    </row>
    <row r="98" ht="20" customHeight="1">
      <c r="A98" s="6" t="inlineStr">
        <is>
          <t>6100</t>
        </is>
      </c>
      <c r="B98" s="7" t="inlineStr">
        <is>
          <t>Beban Penjualan &amp; Pemasaran</t>
        </is>
      </c>
      <c r="C98" s="6" t="inlineStr">
        <is>
          <t>6000</t>
        </is>
      </c>
      <c r="D98" s="7" t="inlineStr">
        <is>
          <t>BEBAN OPERASIONAL (OPERATING EXPENSES)</t>
        </is>
      </c>
      <c r="E98" s="6" t="inlineStr">
        <is>
          <t>Expense</t>
        </is>
      </c>
      <c r="F98" s="6" t="n">
        <v>1</v>
      </c>
      <c r="G98" s="7" t="inlineStr">
        <is>
          <t>Expense Account</t>
        </is>
      </c>
      <c r="H98" s="7" t="inlineStr">
        <is>
          <t>Beban Pemasaran</t>
        </is>
      </c>
      <c r="I98" s="7" t="inlineStr">
        <is>
          <t>Beban distribusi &amp; komersial produk</t>
        </is>
      </c>
    </row>
    <row r="99" ht="20" customHeight="1">
      <c r="A99" s="10" t="inlineStr">
        <is>
          <t>6110</t>
        </is>
      </c>
      <c r="B99" s="11" t="inlineStr">
        <is>
          <t>Biaya Pengiriman Barang Jadi ke Pelanggan (Freight Out)</t>
        </is>
      </c>
      <c r="C99" s="10" t="inlineStr">
        <is>
          <t>6100</t>
        </is>
      </c>
      <c r="D99" s="11" t="inlineStr">
        <is>
          <t>Beban Penjualan &amp; Pemasaran</t>
        </is>
      </c>
      <c r="E99" s="10" t="inlineStr">
        <is>
          <t>Expense</t>
        </is>
      </c>
      <c r="F99" s="10" t="n">
        <v>0</v>
      </c>
      <c r="G99" s="11" t="inlineStr">
        <is>
          <t>Expense Account</t>
        </is>
      </c>
      <c r="H99" s="11" t="inlineStr">
        <is>
          <t>Ongkir Penjualan</t>
        </is>
      </c>
      <c r="I99" s="11" t="inlineStr">
        <is>
          <t>Biaya ekpedisi, truk, &amp; kontainer pengiriman produk</t>
        </is>
      </c>
    </row>
    <row r="100" ht="20" customHeight="1">
      <c r="A100" s="8" t="inlineStr">
        <is>
          <t>6120</t>
        </is>
      </c>
      <c r="B100" s="9" t="inlineStr">
        <is>
          <t>Gaji &amp; Komisi Sales / Marketing</t>
        </is>
      </c>
      <c r="C100" s="8" t="inlineStr">
        <is>
          <t>6100</t>
        </is>
      </c>
      <c r="D100" s="9" t="inlineStr">
        <is>
          <t>Beban Penjualan &amp; Pemasaran</t>
        </is>
      </c>
      <c r="E100" s="8" t="inlineStr">
        <is>
          <t>Expense</t>
        </is>
      </c>
      <c r="F100" s="8" t="n">
        <v>0</v>
      </c>
      <c r="G100" s="9" t="inlineStr">
        <is>
          <t>Expense Account</t>
        </is>
      </c>
      <c r="H100" s="9" t="inlineStr">
        <is>
          <t>Gaji Tim Sales</t>
        </is>
      </c>
      <c r="I100" s="9" t="inlineStr">
        <is>
          <t>Gaji pokok, bonus, &amp; komisi tim penjualan</t>
        </is>
      </c>
    </row>
    <row r="101" ht="20" customHeight="1">
      <c r="A101" s="10" t="inlineStr">
        <is>
          <t>6130</t>
        </is>
      </c>
      <c r="B101" s="11" t="inlineStr">
        <is>
          <t>Biaya Iklan, Pameran Industri &amp; Promosi</t>
        </is>
      </c>
      <c r="C101" s="10" t="inlineStr">
        <is>
          <t>6100</t>
        </is>
      </c>
      <c r="D101" s="11" t="inlineStr">
        <is>
          <t>Beban Penjualan &amp; Pemasaran</t>
        </is>
      </c>
      <c r="E101" s="10" t="inlineStr">
        <is>
          <t>Expense</t>
        </is>
      </c>
      <c r="F101" s="10" t="n">
        <v>0</v>
      </c>
      <c r="G101" s="11" t="inlineStr">
        <is>
          <t>Expense Account</t>
        </is>
      </c>
      <c r="H101" s="11" t="inlineStr">
        <is>
          <t>Promosi &amp; Pameran</t>
        </is>
      </c>
      <c r="I101" s="11" t="inlineStr">
        <is>
          <t>Sewa booth pameran industri, brosur, &amp; pemasaran digital</t>
        </is>
      </c>
    </row>
    <row r="102" ht="20" customHeight="1">
      <c r="A102" s="8" t="inlineStr">
        <is>
          <t>6140</t>
        </is>
      </c>
      <c r="B102" s="9" t="inlineStr">
        <is>
          <t>Biaya Garansi, Retur &amp; Klaim Kualitas</t>
        </is>
      </c>
      <c r="C102" s="8" t="inlineStr">
        <is>
          <t>6100</t>
        </is>
      </c>
      <c r="D102" s="9" t="inlineStr">
        <is>
          <t>Beban Penjualan &amp; Pemasaran</t>
        </is>
      </c>
      <c r="E102" s="8" t="inlineStr">
        <is>
          <t>Expense</t>
        </is>
      </c>
      <c r="F102" s="8" t="n">
        <v>0</v>
      </c>
      <c r="G102" s="9" t="inlineStr">
        <is>
          <t>Expense Account</t>
        </is>
      </c>
      <c r="H102" s="9" t="inlineStr">
        <is>
          <t>Garansi &amp; Klaim</t>
        </is>
      </c>
      <c r="I102" s="9" t="inlineStr">
        <is>
          <t>Biaya penggantian/perbaikan produk garansi pelanggan</t>
        </is>
      </c>
    </row>
    <row r="103" ht="20" customHeight="1">
      <c r="A103" s="6" t="inlineStr">
        <is>
          <t>6200</t>
        </is>
      </c>
      <c r="B103" s="7" t="inlineStr">
        <is>
          <t>Beban Umum &amp; Administrasi</t>
        </is>
      </c>
      <c r="C103" s="6" t="inlineStr">
        <is>
          <t>6000</t>
        </is>
      </c>
      <c r="D103" s="7" t="inlineStr">
        <is>
          <t>BEBAN OPERASIONAL (OPERATING EXPENSES)</t>
        </is>
      </c>
      <c r="E103" s="6" t="inlineStr">
        <is>
          <t>Expense</t>
        </is>
      </c>
      <c r="F103" s="6" t="n">
        <v>1</v>
      </c>
      <c r="G103" s="7" t="inlineStr">
        <is>
          <t>Expense Account</t>
        </is>
      </c>
      <c r="H103" s="7" t="inlineStr">
        <is>
          <t>Beban Umum &amp; Admin</t>
        </is>
      </c>
      <c r="I103" s="7" t="inlineStr">
        <is>
          <t>Beban manajerial &amp; operasional kantor pusat</t>
        </is>
      </c>
    </row>
    <row r="104" ht="20" customHeight="1">
      <c r="A104" s="8" t="inlineStr">
        <is>
          <t>6210</t>
        </is>
      </c>
      <c r="B104" s="9" t="inlineStr">
        <is>
          <t>Gaji Direksi &amp; Staf Administrasi Kantor</t>
        </is>
      </c>
      <c r="C104" s="8" t="inlineStr">
        <is>
          <t>6200</t>
        </is>
      </c>
      <c r="D104" s="9" t="inlineStr">
        <is>
          <t>Beban Umum &amp; Administrasi</t>
        </is>
      </c>
      <c r="E104" s="8" t="inlineStr">
        <is>
          <t>Expense</t>
        </is>
      </c>
      <c r="F104" s="8" t="n">
        <v>0</v>
      </c>
      <c r="G104" s="9" t="inlineStr">
        <is>
          <t>Expense Account</t>
        </is>
      </c>
      <c r="H104" s="9" t="inlineStr">
        <is>
          <t>Gaji Admin &amp; Direksi</t>
        </is>
      </c>
      <c r="I104" s="9" t="inlineStr">
        <is>
          <t>Gaji manajemen puncak, HRD, Finance, &amp; IT kantor</t>
        </is>
      </c>
    </row>
    <row r="105" ht="20" customHeight="1">
      <c r="A105" s="10" t="inlineStr">
        <is>
          <t>6220</t>
        </is>
      </c>
      <c r="B105" s="11" t="inlineStr">
        <is>
          <t>Sewa Kantor, Listrik, Air &amp; Internet Kantor</t>
        </is>
      </c>
      <c r="C105" s="10" t="inlineStr">
        <is>
          <t>6200</t>
        </is>
      </c>
      <c r="D105" s="11" t="inlineStr">
        <is>
          <t>Beban Umum &amp; Administrasi</t>
        </is>
      </c>
      <c r="E105" s="10" t="inlineStr">
        <is>
          <t>Expense</t>
        </is>
      </c>
      <c r="F105" s="10" t="n">
        <v>0</v>
      </c>
      <c r="G105" s="11" t="inlineStr">
        <is>
          <t>Expense Account</t>
        </is>
      </c>
      <c r="H105" s="11" t="inlineStr">
        <is>
          <t>Utilitas Kantor</t>
        </is>
      </c>
      <c r="I105" s="11" t="inlineStr">
        <is>
          <t>Biaya operasional kantor non-pabrik</t>
        </is>
      </c>
    </row>
    <row r="106" ht="20" customHeight="1">
      <c r="A106" s="8" t="inlineStr">
        <is>
          <t>6230</t>
        </is>
      </c>
      <c r="B106" s="9" t="inlineStr">
        <is>
          <t>Biaya Alat Tulis Kantor (ATK) &amp; Cetakan</t>
        </is>
      </c>
      <c r="C106" s="8" t="inlineStr">
        <is>
          <t>6200</t>
        </is>
      </c>
      <c r="D106" s="9" t="inlineStr">
        <is>
          <t>Beban Umum &amp; Administrasi</t>
        </is>
      </c>
      <c r="E106" s="8" t="inlineStr">
        <is>
          <t>Expense</t>
        </is>
      </c>
      <c r="F106" s="8" t="n">
        <v>0</v>
      </c>
      <c r="G106" s="9" t="inlineStr">
        <is>
          <t>Expense Account</t>
        </is>
      </c>
      <c r="H106" s="9" t="inlineStr">
        <is>
          <t>Perlengkapan Kantor</t>
        </is>
      </c>
      <c r="I106" s="9" t="inlineStr">
        <is>
          <t>Pembelian kertas, tinta, &amp; kebutuhan kantor</t>
        </is>
      </c>
    </row>
    <row r="107" ht="20" customHeight="1">
      <c r="A107" s="10" t="inlineStr">
        <is>
          <t>6240</t>
        </is>
      </c>
      <c r="B107" s="11" t="inlineStr">
        <is>
          <t>Penyusutan Aset Tetap Kantor &amp; IT</t>
        </is>
      </c>
      <c r="C107" s="10" t="inlineStr">
        <is>
          <t>6200</t>
        </is>
      </c>
      <c r="D107" s="11" t="inlineStr">
        <is>
          <t>Beban Umum &amp; Administrasi</t>
        </is>
      </c>
      <c r="E107" s="10" t="inlineStr">
        <is>
          <t>Expense</t>
        </is>
      </c>
      <c r="F107" s="10" t="n">
        <v>0</v>
      </c>
      <c r="G107" s="11" t="inlineStr">
        <is>
          <t>Depreciation</t>
        </is>
      </c>
      <c r="H107" s="11" t="inlineStr">
        <is>
          <t>Depresiasi Kantor</t>
        </is>
      </c>
      <c r="I107" s="11" t="inlineStr">
        <is>
          <t>Beban penyusutan komputer, server, &amp; inventaris kantor</t>
        </is>
      </c>
    </row>
    <row r="108" ht="20" customHeight="1">
      <c r="A108" s="8" t="inlineStr">
        <is>
          <t>6250</t>
        </is>
      </c>
      <c r="B108" s="9" t="inlineStr">
        <is>
          <t>Biaya Perizinan, Legal, ISO &amp; Konsultan</t>
        </is>
      </c>
      <c r="C108" s="8" t="inlineStr">
        <is>
          <t>6200</t>
        </is>
      </c>
      <c r="D108" s="9" t="inlineStr">
        <is>
          <t>Beban Umum &amp; Administrasi</t>
        </is>
      </c>
      <c r="E108" s="8" t="inlineStr">
        <is>
          <t>Expense</t>
        </is>
      </c>
      <c r="F108" s="8" t="n">
        <v>0</v>
      </c>
      <c r="G108" s="9" t="inlineStr">
        <is>
          <t>Expense Account</t>
        </is>
      </c>
      <c r="H108" s="9" t="inlineStr">
        <is>
          <t>Legal &amp; Sertifikasi</t>
        </is>
      </c>
      <c r="I108" s="9" t="inlineStr">
        <is>
          <t>Sertifikasi ISO, AMDAL, auditor akuntan, &amp; konsultan</t>
        </is>
      </c>
    </row>
    <row r="109" ht="20" customHeight="1">
      <c r="A109" s="10" t="inlineStr">
        <is>
          <t>6260</t>
        </is>
      </c>
      <c r="B109" s="11" t="inlineStr">
        <is>
          <t>Biaya Admin Bank, Pajak Bunga &amp; Provisi</t>
        </is>
      </c>
      <c r="C109" s="10" t="inlineStr">
        <is>
          <t>6200</t>
        </is>
      </c>
      <c r="D109" s="11" t="inlineStr">
        <is>
          <t>Beban Umum &amp; Administrasi</t>
        </is>
      </c>
      <c r="E109" s="10" t="inlineStr">
        <is>
          <t>Expense</t>
        </is>
      </c>
      <c r="F109" s="10" t="n">
        <v>0</v>
      </c>
      <c r="G109" s="11" t="inlineStr">
        <is>
          <t>Expense Account</t>
        </is>
      </c>
      <c r="H109" s="11" t="inlineStr">
        <is>
          <t>Admin Bank</t>
        </is>
      </c>
      <c r="I109" s="11" t="inlineStr">
        <is>
          <t>Biaya administrasi bulanan bank &amp; provisi pinjaman</t>
        </is>
      </c>
    </row>
    <row r="110" ht="20" customHeight="1">
      <c r="A110" s="8" t="inlineStr">
        <is>
          <t>6270</t>
        </is>
      </c>
      <c r="B110" s="9" t="inlineStr">
        <is>
          <t>Beban Kerugian Selisih Kurs Mata Uang</t>
        </is>
      </c>
      <c r="C110" s="8" t="inlineStr">
        <is>
          <t>6200</t>
        </is>
      </c>
      <c r="D110" s="9" t="inlineStr">
        <is>
          <t>Beban Umum &amp; Administrasi</t>
        </is>
      </c>
      <c r="E110" s="8" t="inlineStr">
        <is>
          <t>Expense</t>
        </is>
      </c>
      <c r="F110" s="8" t="n">
        <v>0</v>
      </c>
      <c r="G110" s="9" t="inlineStr">
        <is>
          <t>Expense Account</t>
        </is>
      </c>
      <c r="H110" s="9" t="inlineStr">
        <is>
          <t>Rugi Selisih Kurs</t>
        </is>
      </c>
      <c r="I110" s="9" t="inlineStr">
        <is>
          <t>Kerugian akibat fluktuasi nilai tukar impor/ekspor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PANDUAN IMPOR BAGAN AKUN KE ERPNEXT</t>
        </is>
      </c>
    </row>
    <row r="2">
      <c r="A2" s="2" t="inlineStr">
        <is>
          <t>Langkah-langkah Praktis Mengunggah File ke Sistem ERPNext</t>
        </is>
      </c>
    </row>
    <row r="4" ht="24" customHeight="1">
      <c r="A4" s="12" t="inlineStr">
        <is>
          <t>Langkah 1: Persiapan Perusahaan (Company)</t>
        </is>
      </c>
    </row>
    <row r="5" ht="20" customHeight="1">
      <c r="A5" s="13" t="inlineStr">
        <is>
          <t>1. Pastikan Perusahaan (Company) Anda sudah dibuat di ERPNext (Setup &gt; Company).</t>
        </is>
      </c>
    </row>
    <row r="6" ht="20" customHeight="1">
      <c r="A6" s="13" t="inlineStr">
        <is>
          <t>2. Jika membuat Perusahaan baru, Anda bisa memilih opsi 'Chart of Accounts Importer' agar struktur bawaan kosong/bersih.</t>
        </is>
      </c>
    </row>
    <row r="8" ht="24" customHeight="1">
      <c r="A8" s="12" t="inlineStr">
        <is>
          <t>Langkah 2: Menggunakan Chart of Accounts Importer di ERPNext</t>
        </is>
      </c>
    </row>
    <row r="9" ht="20" customHeight="1">
      <c r="A9" s="13" t="inlineStr">
        <is>
          <t>1. Masuk ke modul Accounting &gt; Chart of Accounts Importer.</t>
        </is>
      </c>
    </row>
    <row r="10" ht="20" customHeight="1">
      <c r="A10" s="13" t="inlineStr">
        <is>
          <t>2. Pilih nama Perusahaan Anda pada kolom Company.</t>
        </is>
      </c>
    </row>
    <row r="11" ht="20" customHeight="1">
      <c r="A11" s="13" t="inlineStr">
        <is>
          <t>3. Ekspor/Simpan Tab 'Chart of Accounts ERPNext' dari file Excel ini menjadi format .CSV atau langsung Upload file .XLSX ini.</t>
        </is>
      </c>
    </row>
    <row r="12" ht="20" customHeight="1">
      <c r="A12" s="13" t="inlineStr">
        <is>
          <t>4. Petakan (Map) kolom Excel ke field ERPNext berikut:</t>
        </is>
      </c>
    </row>
    <row r="13" ht="20" customHeight="1">
      <c r="A13" s="13" t="inlineStr">
        <is>
          <t xml:space="preserve">   - Account Code -&gt; Account Number / Code</t>
        </is>
      </c>
    </row>
    <row r="14" ht="20" customHeight="1">
      <c r="A14" s="13" t="inlineStr">
        <is>
          <t xml:space="preserve">   - Account Name -&gt; Account Name</t>
        </is>
      </c>
    </row>
    <row r="15" ht="20" customHeight="1">
      <c r="A15" s="13" t="inlineStr">
        <is>
          <t xml:space="preserve">   - Parent Account Code / Name -&gt; Parent Account</t>
        </is>
      </c>
    </row>
    <row r="16" ht="20" customHeight="1">
      <c r="A16" s="13" t="inlineStr">
        <is>
          <t xml:space="preserve">   - Is Group -&gt; Is Group (1 or 0)</t>
        </is>
      </c>
    </row>
    <row r="17" ht="20" customHeight="1">
      <c r="A17" s="13" t="inlineStr">
        <is>
          <t xml:space="preserve">   - Account Type -&gt; Account Type</t>
        </is>
      </c>
    </row>
    <row r="18" ht="20" customHeight="1">
      <c r="A18" s="13" t="inlineStr">
        <is>
          <t>5. Klik button 'Import' dan sistem akan menyusun hierarki pohon akun secara otomatis.</t>
        </is>
      </c>
    </row>
    <row r="20" ht="24" customHeight="1">
      <c r="A20" s="12" t="inlineStr">
        <is>
          <t>Langkah 3: Konfigurasi Tipe Akun Khusus Manufaktur (Aturan Wajib)</t>
        </is>
      </c>
    </row>
    <row r="21" ht="20" customHeight="1">
      <c r="A21" s="13" t="inlineStr">
        <is>
          <t>1. Persediaan Bahan Baku, WIP, &amp; Barang Jadi (1131 - 1134) WAJIB diset Account Type = 'Stock'.</t>
        </is>
      </c>
    </row>
    <row r="22" ht="20" customHeight="1">
      <c r="A22" s="13" t="inlineStr">
        <is>
          <t>2. Piutang Usaha (1121) WAJIB diset Account Type = 'Receivable'.</t>
        </is>
      </c>
    </row>
    <row r="23" ht="20" customHeight="1">
      <c r="A23" s="13" t="inlineStr">
        <is>
          <t>3. Hutang Dagang (2111) WAJIB diset Account Type = 'Payable'.</t>
        </is>
      </c>
    </row>
    <row r="24" ht="20" customHeight="1">
      <c r="A24" s="13" t="inlineStr">
        <is>
          <t>4. HPP Barang Jadi (5110) WAJIB diset Account Type = 'Cost of Goods Sold'.</t>
        </is>
      </c>
    </row>
    <row r="25" ht="20" customHeight="1">
      <c r="A25" s="13" t="inlineStr">
        <is>
          <t>5. Pengaturan ini diperlukan agar otomatisasi Work Order, Stock Entry Manufacture, dan Sales/Purchase Invoice berjalan tanpa error.</t>
        </is>
      </c>
    </row>
    <row r="27" ht="24" customHeight="1">
      <c r="A27" s="12" t="inlineStr">
        <is>
          <t>Langkah 4: Pengujian &amp; Pemetaan ke Setting Manufaktur</t>
        </is>
      </c>
    </row>
    <row r="28" ht="20" customHeight="1">
      <c r="A28" s="13" t="inlineStr">
        <is>
          <t>1. Buka Manufacturing Settings &gt; Default Accounts.</t>
        </is>
      </c>
    </row>
    <row r="29" ht="20" customHeight="1">
      <c r="A29" s="13" t="inlineStr">
        <is>
          <t>2. Set Default Raw Material Account = 1131 (Persediaan Bahan Baku).</t>
        </is>
      </c>
    </row>
    <row r="30" ht="20" customHeight="1">
      <c r="A30" s="13" t="inlineStr">
        <is>
          <t>3. Set Default WIP Account = 1133 (Persediaan Barang Dalam Proses).</t>
        </is>
      </c>
    </row>
    <row r="31" ht="20" customHeight="1">
      <c r="A31" s="13" t="inlineStr">
        <is>
          <t>4. Set Default Finished Goods Account = 1134 (Persediaan Barang Jadi).</t>
        </is>
      </c>
    </row>
    <row r="32" ht="20" customHeight="1">
      <c r="A32" s="13" t="inlineStr">
        <is>
          <t>5. Set Default Operating Cost Account = 5400 (Biaya Overhead Pabrik).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32" customWidth="1" min="2" max="2"/>
    <col width="144" customWidth="1" min="3" max="3"/>
    <col width="144" customWidth="1" min="4" max="4"/>
    <col width="18" customWidth="1" min="5" max="5"/>
    <col width="58" customWidth="1" min="6" max="6"/>
  </cols>
  <sheetData>
    <row r="1">
      <c r="A1" s="1" t="inlineStr">
        <is>
          <t>RINGKASAN REKAPITULASI KODE AKUN MANUFAKTUR</t>
        </is>
      </c>
    </row>
    <row r="2">
      <c r="A2" s="2" t="inlineStr">
        <is>
          <t>Distribusi Kelompok Akun dan Statistik Pemetaan ERPNext</t>
        </is>
      </c>
    </row>
    <row r="3"/>
    <row r="4" ht="26" customHeight="1">
      <c r="A4" s="3" t="inlineStr">
        <is>
          <t>Kode Head</t>
        </is>
      </c>
      <c r="B4" s="3" t="inlineStr">
        <is>
          <t>Kategori Utama (Root Type)</t>
        </is>
      </c>
      <c r="C4" s="3" t="inlineStr">
        <is>
          <t>Jumlah Akun Induk (Group)</t>
        </is>
      </c>
      <c r="D4" s="3" t="inlineStr">
        <is>
          <t>Jumlah Akun Transaksi (Ledger)</t>
        </is>
      </c>
      <c r="E4" s="3" t="inlineStr">
        <is>
          <t>Total Akun</t>
        </is>
      </c>
      <c r="F4" s="3" t="inlineStr">
        <is>
          <t>Fokus Utama Manufaktur</t>
        </is>
      </c>
    </row>
    <row r="5" ht="22" customHeight="1">
      <c r="A5" s="8" t="inlineStr">
        <is>
          <t>1000</t>
        </is>
      </c>
      <c r="B5" s="9" t="inlineStr">
        <is>
          <t>ASET (Assets)</t>
        </is>
      </c>
      <c r="C5" s="8">
        <f>COUNTIFS('Chart of Accounts ERPNext'!E5:E100, "Asset", 'Chart of Accounts ERPNext'!F5:F100, 1)</f>
        <v/>
      </c>
      <c r="D5" s="8">
        <f>COUNTIFS('Chart of Accounts ERPNext'!E5:E100, "Asset", 'Chart of Accounts ERPNext'!F5:F100, 0)</f>
        <v/>
      </c>
      <c r="E5" s="8">
        <f>SUM(C5:D5)</f>
        <v/>
      </c>
      <c r="F5" s="9" t="inlineStr">
        <is>
          <t>Bahan Baku, WIP, Barang Jadi, Spareparts &amp; Mesin Produksi</t>
        </is>
      </c>
    </row>
    <row r="6" ht="22" customHeight="1">
      <c r="A6" s="10" t="inlineStr">
        <is>
          <t>2000</t>
        </is>
      </c>
      <c r="B6" s="11" t="inlineStr">
        <is>
          <t>KEWAJIBAN (Liabilities)</t>
        </is>
      </c>
      <c r="C6" s="10">
        <f>COUNTIFS('Chart of Accounts ERPNext'!E5:E100, "Liability", 'Chart of Accounts ERPNext'!F5:F100, 1)</f>
        <v/>
      </c>
      <c r="D6" s="10">
        <f>COUNTIFS('Chart of Accounts ERPNext'!E5:E100, "Liability", 'Chart of Accounts ERPNext'!F5:F100, 0)</f>
        <v/>
      </c>
      <c r="E6" s="10">
        <f>SUM(C6:D6)</f>
        <v/>
      </c>
      <c r="F6" s="11" t="inlineStr">
        <is>
          <t>Hutang Supplier Bahan Baku, Makloon &amp; Akrual Buruh</t>
        </is>
      </c>
    </row>
    <row r="7" ht="22" customHeight="1">
      <c r="A7" s="8" t="inlineStr">
        <is>
          <t>3000</t>
        </is>
      </c>
      <c r="B7" s="9" t="inlineStr">
        <is>
          <t>EKUITAS (Equity)</t>
        </is>
      </c>
      <c r="C7" s="8">
        <f>COUNTIFS('Chart of Accounts ERPNext'!E5:E100, "Equity", 'Chart of Accounts ERPNext'!F5:F100, 1)</f>
        <v/>
      </c>
      <c r="D7" s="8">
        <f>COUNTIFS('Chart of Accounts ERPNext'!E5:E100, "Equity", 'Chart of Accounts ERPNext'!F5:F100, 0)</f>
        <v/>
      </c>
      <c r="E7" s="8">
        <f>SUM(C7:D7)</f>
        <v/>
      </c>
      <c r="F7" s="9" t="inlineStr">
        <is>
          <t>Modal Disetor, Laba Ditahan &amp; Clearing Adjust Stok</t>
        </is>
      </c>
    </row>
    <row r="8" ht="22" customHeight="1">
      <c r="A8" s="10" t="inlineStr">
        <is>
          <t>4000</t>
        </is>
      </c>
      <c r="B8" s="11" t="inlineStr">
        <is>
          <t>PENDAPATAN (Income)</t>
        </is>
      </c>
      <c r="C8" s="10">
        <f>COUNTIFS('Chart of Accounts ERPNext'!E5:E100, "Income", 'Chart of Accounts ERPNext'!F5:F100, 1)</f>
        <v/>
      </c>
      <c r="D8" s="10">
        <f>COUNTIFS('Chart of Accounts ERPNext'!E5:E100, "Income", 'Chart of Accounts ERPNext'!F5:F100, 0)</f>
        <v/>
      </c>
      <c r="E8" s="10">
        <f>SUM(C8:D8)</f>
        <v/>
      </c>
      <c r="F8" s="11" t="inlineStr">
        <is>
          <t>Penjualan Produk Manufaktur, Jasa Makloon &amp; Scrap</t>
        </is>
      </c>
    </row>
    <row r="9" ht="22" customHeight="1">
      <c r="A9" s="8" t="inlineStr">
        <is>
          <t>5000</t>
        </is>
      </c>
      <c r="B9" s="9" t="inlineStr">
        <is>
          <t>HPP &amp; BIAYA PRODUKSI (Expense)</t>
        </is>
      </c>
      <c r="C9" s="8">
        <f>COUNTIFS('Chart of Accounts ERPNext'!E5:E100, "Expense", 'Chart of Accounts ERPNext'!A5:A100, "5*", 'Chart of Accounts ERPNext'!F5:F100, 1)</f>
        <v/>
      </c>
      <c r="D9" s="8">
        <f>COUNTIFS('Chart of Accounts ERPNext'!E5:E100, "Expense", 'Chart of Accounts ERPNext'!A5:A100, "5*", 'Chart of Accounts ERPNext'!F5:F100, 0)</f>
        <v/>
      </c>
      <c r="E9" s="8">
        <f>SUM(C9:D9)</f>
        <v/>
      </c>
      <c r="F9" s="9" t="inlineStr">
        <is>
          <t>Biaya Bahan Langsung, Upah Buruh &amp; Overhead Pabrik (BOP)</t>
        </is>
      </c>
    </row>
    <row r="10" ht="22" customHeight="1">
      <c r="A10" s="10" t="inlineStr">
        <is>
          <t>6000</t>
        </is>
      </c>
      <c r="B10" s="11" t="inlineStr">
        <is>
          <t>BEBAN OPERASIONAL (Expense)</t>
        </is>
      </c>
      <c r="C10" s="10">
        <f>COUNTIFS('Chart of Accounts ERPNext'!E5:E100, "Expense", 'Chart of Accounts ERPNext'!A5:A100, "6*", 'Chart of Accounts ERPNext'!F5:F100, 1)</f>
        <v/>
      </c>
      <c r="D10" s="10">
        <f>COUNTIFS('Chart of Accounts ERPNext'!E5:E100, "Expense", 'Chart of Accounts ERPNext'!A5:A100, "6*", 'Chart of Accounts ERPNext'!F5:F100, 0)</f>
        <v/>
      </c>
      <c r="E10" s="10">
        <f>SUM(C10:D10)</f>
        <v/>
      </c>
      <c r="F10" s="11" t="inlineStr">
        <is>
          <t>Beban Pengiriman (Freight Out), Sales &amp; Umum Admin</t>
        </is>
      </c>
    </row>
    <row r="11" ht="24" customHeight="1">
      <c r="A11" s="14" t="inlineStr"/>
      <c r="B11" s="15" t="inlineStr">
        <is>
          <t>TOTAL KELOMPOK AKUN</t>
        </is>
      </c>
      <c r="C11" s="16">
        <f>SUM(C5:C10)</f>
        <v/>
      </c>
      <c r="D11" s="16">
        <f>SUM(D5:D10)</f>
        <v/>
      </c>
      <c r="E11" s="16">
        <f>SUM(E5:E10)</f>
        <v/>
      </c>
      <c r="F11" s="17" t="inlineStr">
        <is>
          <t>Struktur Lengkap Kompatibel dengan ERPNext v14/v15/v16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2026-09-19T10:52:13Z</dcterms:created>
  <dcterms:modified xmlns:dcterms="http://purl.org/dc/terms/" xmlns:xsi="http://www.w3.org/2001/XMLSchema-instance" xsi:type="dcterms:W3CDTF">2026-09-19T10:52:13Z</dcterms:modified>
</cp:coreProperties>
</file>